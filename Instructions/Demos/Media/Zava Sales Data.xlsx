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sites/ABSdemos/Shared Documents/Demo Source Files/Analyst Agent/"/>
    </mc:Choice>
  </mc:AlternateContent>
  <xr:revisionPtr revIDLastSave="838" documentId="8_{883F971B-B8EA-DD41-9942-F75D24C1F648}" xr6:coauthVersionLast="47" xr6:coauthVersionMax="47" xr10:uidLastSave="{01F837D4-C3DE-418E-A74D-B72B80F77CF0}"/>
  <bookViews>
    <workbookView xWindow="-6840" yWindow="-16297" windowWidth="28995" windowHeight="15675" xr2:uid="{CF82ABB9-B799-8A4F-AD2B-8E8E18D594A9}"/>
  </bookViews>
  <sheets>
    <sheet name="Sales data" sheetId="1" r:id="rId1"/>
    <sheet name="Pivot_Calcs" sheetId="2" state="hidden" r:id="rId2"/>
  </sheets>
  <calcPr calcId="191028"/>
  <pivotCaches>
    <pivotCache cacheId="7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</calcChain>
</file>

<file path=xl/sharedStrings.xml><?xml version="1.0" encoding="utf-8"?>
<sst xmlns="http://schemas.openxmlformats.org/spreadsheetml/2006/main" count="4238" uniqueCount="59">
  <si>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</si>
  <si>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</si>
  <si>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</si>
  <si>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</si>
  <si>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</si>
  <si>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</si>
  <si>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</si>
  <si>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</si>
  <si>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</si>
  <si>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</si>
  <si>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</si>
  <si>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</si>
  <si>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</si>
  <si>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</si>
  <si>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</si>
  <si>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</si>
  <si>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Year-Month</t>
  </si>
  <si>
    <t>Margin %</t>
  </si>
  <si>
    <t>Discount %</t>
  </si>
  <si>
    <t>Enterprise</t>
  </si>
  <si>
    <t>Canada</t>
  </si>
  <si>
    <t>Carretera</t>
  </si>
  <si>
    <t>None</t>
  </si>
  <si>
    <t>January</t>
  </si>
  <si>
    <t>2024</t>
  </si>
  <si>
    <t>Germany</t>
  </si>
  <si>
    <t>Government</t>
  </si>
  <si>
    <t>France</t>
  </si>
  <si>
    <t>June</t>
  </si>
  <si>
    <t>Mexico</t>
  </si>
  <si>
    <t>December</t>
  </si>
  <si>
    <t>Montana</t>
  </si>
  <si>
    <t>March</t>
  </si>
  <si>
    <t>SMB</t>
  </si>
  <si>
    <t>Education</t>
  </si>
  <si>
    <t>July</t>
  </si>
  <si>
    <t>Consumer</t>
  </si>
  <si>
    <t>August</t>
  </si>
  <si>
    <t>September</t>
  </si>
  <si>
    <t>October</t>
  </si>
  <si>
    <t>2023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</si>
  <si>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</si>
  <si>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</si>
  <si>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</si>
  <si>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</si>
  <si>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</si>
  <si>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</si>
  <si>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</si>
  <si>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</si>
  <si>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</si>
  <si>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</si>
  <si>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</si>
  <si>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</si>
  <si>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Sum of Profit</t>
  </si>
  <si>
    <t>Column Labels</t>
  </si>
  <si>
    <t>Row Labels</t>
  </si>
  <si>
    <t>Sum of Margin %</t>
  </si>
  <si>
    <t>Sum of Discount 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</si>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</sst>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"/>
    <numFmt numFmtId="165" formatCode="0.0%"/>
    <numFmt numFmtId="166" formatCode="&quot;$&quot;#,##0;[Red]\-&quot;$&quot;#,##0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44" fontId="0" fillId="0" borderId="2" xfId="1" applyFont="1" applyBorder="1"/>
    <xf numFmtId="14" fontId="0" fillId="0" borderId="2" xfId="1" applyNumberFormat="1" applyFont="1" applyBorder="1"/>
    <xf numFmtId="1" fontId="0" fillId="0" borderId="2" xfId="1" applyNumberFormat="1" applyFont="1" applyBorder="1"/>
    <xf numFmtId="49" fontId="0" fillId="0" borderId="2" xfId="1" applyNumberFormat="1" applyFont="1" applyBorder="1"/>
    <xf numFmtId="0" fontId="2" fillId="0" borderId="0" xfId="0" applyFont="1"/>
    <xf numFmtId="44" fontId="3" fillId="0" borderId="0" xfId="1" applyFont="1"/>
    <xf numFmtId="44" fontId="2" fillId="0" borderId="0" xfId="1" applyFont="1"/>
    <xf numFmtId="14" fontId="3" fillId="0" borderId="0" xfId="1" applyNumberFormat="1" applyFont="1"/>
    <xf numFmtId="1" fontId="3" fillId="0" borderId="0" xfId="1" applyNumberFormat="1" applyFont="1"/>
    <xf numFmtId="49" fontId="3" fillId="0" borderId="0" xfId="1" applyNumberFormat="1" applyFont="1"/>
    <xf numFmtId="10" fontId="3" fillId="0" borderId="0" xfId="1" applyNumberFormat="1" applyFont="1"/>
    <xf numFmtId="164" fontId="0" fillId="0" borderId="2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</cellXfs>
  <cellStyles count="2">
    <cellStyle name="Currency" xfId="1" builtinId="4"/>
    <cellStyle name="Normal" xfId="0" builtinId="0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%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%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yyyy\-mm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  <dxf>
      <numFmt numFmtId="166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0.721748379627" createdVersion="8" refreshedVersion="8" minRefreshableVersion="3" recordCount="700" xr:uid="{A43B47AF-F988-470F-B71D-F0EA6A8CB359}">
  <cacheSource type="worksheet">
    <worksheetSource ref="A1:S701" sheet="Sales data"/>
  </cacheSource>
  <cacheFields count="19">
    <cacheField name="Segment" numFmtId="0">
      <sharedItems count="5">
        <s v="Enterprise"/>
        <s v="Government"/>
        <s v="SMB"/>
        <s v="Education"/>
        <s v="Consumer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/>
    </cacheField>
    <cacheField name="Discount Band" numFmtId="4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23-09-01T00:00:00" maxDate="202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/>
    </cacheField>
    <cacheField name="Year" numFmtId="49">
      <sharedItems/>
    </cacheField>
    <cacheField name="Year-Month" numFmtId="164">
      <sharedItems containsSemiMixedTypes="0" containsNonDate="0" containsDate="1" containsString="0" minDate="2023-09-01T00:00:00" maxDate="2024-12-02T00:00:00" count="16">
        <d v="2024-01-01T00:00:00"/>
        <d v="2024-06-01T00:00:00"/>
        <d v="2024-12-01T00:00:00"/>
        <d v="2024-03-01T00:00:00"/>
        <d v="2024-07-01T00:00:00"/>
        <d v="2024-08-01T00:00:00"/>
        <d v="2024-09-01T00:00:00"/>
        <d v="2023-10-01T00:00:00"/>
        <d v="2024-02-01T00:00:00"/>
        <d v="2023-09-01T00:00:00"/>
        <d v="2024-10-01T00:00:00"/>
        <d v="2023-11-01T00:00:00"/>
        <d v="2023-12-01T00:00:00"/>
        <d v="2024-04-01T00:00:00"/>
        <d v="2024-05-01T00:00:00"/>
        <d v="2024-11-01T00:00:00"/>
      </sharedItems>
    </cacheField>
    <cacheField name="Margin %" numFmtId="165">
      <sharedItems containsSemiMixedTypes="0" containsString="0" containsNumber="1" minValue="-0.12941176470588237" maxValue="0.75"/>
    </cacheField>
    <cacheField name="Discount %" numFmtId="165">
      <sharedItems containsSemiMixedTypes="0" containsString="0" containsNumber="1" minValue="0" maxValue="0.15000000000000002"/>
    </cacheField>
  </cacheFields>
  <extLst>
    <ext xmlns:x14="http://schemas.microsoft.com/office/spreadsheetml/2009/9/main" uri="{725AE2AE-9491-48be-B2B4-4EB974FC3084}">
      <x14:pivotCacheDefinition pivotCacheId="1971287653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s v="Carretera"/>
    <s v="None"/>
    <n v="1618.5"/>
    <n v="3"/>
    <n v="20"/>
    <n v="32370"/>
    <n v="0"/>
    <n v="32370"/>
    <n v="16185"/>
    <n v="16185"/>
    <d v="2024-01-01T00:00:00"/>
    <n v="1"/>
    <s v="January"/>
    <s v="2024"/>
    <x v="0"/>
    <n v="0.5"/>
    <n v="0"/>
  </r>
  <r>
    <x v="0"/>
    <x v="1"/>
    <s v="Carretera"/>
    <s v="None"/>
    <n v="1321"/>
    <n v="3"/>
    <n v="20"/>
    <n v="26420"/>
    <n v="0"/>
    <n v="26420"/>
    <n v="13210"/>
    <n v="13210"/>
    <d v="2024-01-01T00:00:00"/>
    <n v="1"/>
    <s v="January"/>
    <s v="2024"/>
    <x v="0"/>
    <n v="0.5"/>
    <n v="0"/>
  </r>
  <r>
    <x v="1"/>
    <x v="2"/>
    <s v="Carretera"/>
    <s v="None"/>
    <n v="2178"/>
    <n v="3"/>
    <n v="15"/>
    <n v="32670"/>
    <n v="0"/>
    <n v="32670"/>
    <n v="21780"/>
    <n v="10890"/>
    <d v="2024-06-01T00:00:00"/>
    <n v="6"/>
    <s v="June"/>
    <s v="2024"/>
    <x v="1"/>
    <n v="0.33333333333333331"/>
    <n v="0"/>
  </r>
  <r>
    <x v="1"/>
    <x v="1"/>
    <s v="Carretera"/>
    <s v="None"/>
    <n v="888"/>
    <n v="3"/>
    <n v="15"/>
    <n v="13320"/>
    <n v="0"/>
    <n v="13320"/>
    <n v="8880"/>
    <n v="4440"/>
    <d v="2024-06-01T00:00:00"/>
    <n v="6"/>
    <s v="June"/>
    <s v="2024"/>
    <x v="1"/>
    <n v="0.33333333333333331"/>
    <n v="0"/>
  </r>
  <r>
    <x v="1"/>
    <x v="3"/>
    <s v="Carretera"/>
    <s v="None"/>
    <n v="2470"/>
    <n v="3"/>
    <n v="15"/>
    <n v="37050"/>
    <n v="0"/>
    <n v="37050"/>
    <n v="24700"/>
    <n v="12350"/>
    <d v="2024-06-01T00:00:00"/>
    <n v="6"/>
    <s v="June"/>
    <s v="2024"/>
    <x v="1"/>
    <n v="0.33333333333333331"/>
    <n v="0"/>
  </r>
  <r>
    <x v="0"/>
    <x v="1"/>
    <s v="Carretera"/>
    <s v="None"/>
    <n v="1513"/>
    <n v="3"/>
    <n v="350"/>
    <n v="529550"/>
    <n v="0"/>
    <n v="529550"/>
    <n v="393380"/>
    <n v="136170"/>
    <d v="2024-12-01T00:00:00"/>
    <n v="12"/>
    <s v="December"/>
    <s v="2024"/>
    <x v="2"/>
    <n v="0.25714285714285712"/>
    <n v="0"/>
  </r>
  <r>
    <x v="1"/>
    <x v="1"/>
    <s v="Montana"/>
    <s v="None"/>
    <n v="921"/>
    <n v="5"/>
    <n v="15"/>
    <n v="13815"/>
    <n v="0"/>
    <n v="13815"/>
    <n v="9210"/>
    <n v="4605"/>
    <d v="2024-03-01T00:00:00"/>
    <n v="3"/>
    <s v="March"/>
    <s v="2024"/>
    <x v="3"/>
    <n v="0.33333333333333331"/>
    <n v="0"/>
  </r>
  <r>
    <x v="2"/>
    <x v="0"/>
    <s v="Montana"/>
    <s v="None"/>
    <n v="2518"/>
    <n v="5"/>
    <n v="12"/>
    <n v="30216"/>
    <n v="0"/>
    <n v="30216"/>
    <n v="7554"/>
    <n v="22662"/>
    <d v="2024-06-01T00:00:00"/>
    <n v="6"/>
    <s v="June"/>
    <s v="2024"/>
    <x v="1"/>
    <n v="0.75"/>
    <n v="0"/>
  </r>
  <r>
    <x v="0"/>
    <x v="2"/>
    <s v="Montana"/>
    <s v="None"/>
    <n v="1899"/>
    <n v="5"/>
    <n v="20"/>
    <n v="37980"/>
    <n v="0"/>
    <n v="37980"/>
    <n v="18990"/>
    <n v="18990"/>
    <d v="2024-06-01T00:00:00"/>
    <n v="6"/>
    <s v="June"/>
    <s v="2024"/>
    <x v="1"/>
    <n v="0.5"/>
    <n v="0"/>
  </r>
  <r>
    <x v="2"/>
    <x v="1"/>
    <s v="Montana"/>
    <s v="None"/>
    <n v="1545"/>
    <n v="5"/>
    <n v="12"/>
    <n v="18540"/>
    <n v="0"/>
    <n v="18540"/>
    <n v="4635"/>
    <n v="13905"/>
    <d v="2024-06-01T00:00:00"/>
    <n v="6"/>
    <s v="June"/>
    <s v="2024"/>
    <x v="1"/>
    <n v="0.75"/>
    <n v="0"/>
  </r>
  <r>
    <x v="1"/>
    <x v="3"/>
    <s v="Montana"/>
    <s v="None"/>
    <n v="2470"/>
    <n v="5"/>
    <n v="15"/>
    <n v="37050"/>
    <n v="0"/>
    <n v="37050"/>
    <n v="24700"/>
    <n v="12350"/>
    <d v="2024-06-01T00:00:00"/>
    <n v="6"/>
    <s v="June"/>
    <s v="2024"/>
    <x v="1"/>
    <n v="0.33333333333333331"/>
    <n v="0"/>
  </r>
  <r>
    <x v="3"/>
    <x v="0"/>
    <s v="Montana"/>
    <s v="None"/>
    <n v="2665.5"/>
    <n v="5"/>
    <n v="125"/>
    <n v="333187.5"/>
    <n v="0"/>
    <n v="333187.5"/>
    <n v="319860"/>
    <n v="13327.5"/>
    <d v="2024-07-01T00:00:00"/>
    <n v="7"/>
    <s v="July"/>
    <s v="2024"/>
    <x v="4"/>
    <n v="0.04"/>
    <n v="0"/>
  </r>
  <r>
    <x v="4"/>
    <x v="3"/>
    <s v="Montana"/>
    <s v="None"/>
    <n v="958"/>
    <n v="5"/>
    <n v="300"/>
    <n v="287400"/>
    <n v="0"/>
    <n v="287400"/>
    <n v="239500"/>
    <n v="47900"/>
    <d v="2024-08-01T00:00:00"/>
    <n v="8"/>
    <s v="August"/>
    <s v="2024"/>
    <x v="5"/>
    <n v="0.16666666666666666"/>
    <n v="0"/>
  </r>
  <r>
    <x v="0"/>
    <x v="1"/>
    <s v="Montana"/>
    <s v="None"/>
    <n v="2146"/>
    <n v="5"/>
    <n v="7"/>
    <n v="15022"/>
    <n v="0"/>
    <n v="15022"/>
    <n v="10730"/>
    <n v="4292"/>
    <d v="2024-09-01T00:00:00"/>
    <n v="9"/>
    <s v="September"/>
    <s v="2024"/>
    <x v="6"/>
    <n v="0.2857142857142857"/>
    <n v="0"/>
  </r>
  <r>
    <x v="3"/>
    <x v="0"/>
    <s v="Montana"/>
    <s v="None"/>
    <n v="345"/>
    <n v="5"/>
    <n v="125"/>
    <n v="43125"/>
    <n v="0"/>
    <n v="43125"/>
    <n v="41400"/>
    <n v="1725"/>
    <d v="2023-10-01T00:00:00"/>
    <n v="10"/>
    <s v="October"/>
    <s v="2023"/>
    <x v="7"/>
    <n v="0.04"/>
    <n v="0"/>
  </r>
  <r>
    <x v="1"/>
    <x v="4"/>
    <s v="Montana"/>
    <s v="None"/>
    <n v="615"/>
    <n v="5"/>
    <n v="15"/>
    <n v="9225"/>
    <n v="0"/>
    <n v="9225"/>
    <n v="6150"/>
    <n v="3075"/>
    <d v="2024-12-01T00:00:00"/>
    <n v="12"/>
    <s v="December"/>
    <s v="2024"/>
    <x v="2"/>
    <n v="0.33333333333333331"/>
    <n v="0"/>
  </r>
  <r>
    <x v="0"/>
    <x v="0"/>
    <s v="Paseo"/>
    <s v="None"/>
    <n v="292"/>
    <n v="10"/>
    <n v="20"/>
    <n v="5840"/>
    <n v="0"/>
    <n v="5840"/>
    <n v="2920"/>
    <n v="2920"/>
    <d v="2024-02-01T00:00:00"/>
    <n v="2"/>
    <s v="February"/>
    <s v="2024"/>
    <x v="8"/>
    <n v="0.5"/>
    <n v="0"/>
  </r>
  <r>
    <x v="1"/>
    <x v="3"/>
    <s v="Paseo"/>
    <s v="None"/>
    <n v="974"/>
    <n v="10"/>
    <n v="15"/>
    <n v="14610"/>
    <n v="0"/>
    <n v="14610"/>
    <n v="9740"/>
    <n v="4870"/>
    <d v="2024-02-01T00:00:00"/>
    <n v="2"/>
    <s v="February"/>
    <s v="2024"/>
    <x v="8"/>
    <n v="0.33333333333333331"/>
    <n v="0"/>
  </r>
  <r>
    <x v="2"/>
    <x v="0"/>
    <s v="Paseo"/>
    <s v="None"/>
    <n v="2518"/>
    <n v="10"/>
    <n v="12"/>
    <n v="30216"/>
    <n v="0"/>
    <n v="30216"/>
    <n v="7554"/>
    <n v="22662"/>
    <d v="2024-06-01T00:00:00"/>
    <n v="6"/>
    <s v="June"/>
    <s v="2024"/>
    <x v="1"/>
    <n v="0.75"/>
    <n v="0"/>
  </r>
  <r>
    <x v="0"/>
    <x v="1"/>
    <s v="Paseo"/>
    <s v="None"/>
    <n v="1006"/>
    <n v="10"/>
    <n v="350"/>
    <n v="352100"/>
    <n v="0"/>
    <n v="352100"/>
    <n v="261560"/>
    <n v="90540"/>
    <d v="2024-06-01T00:00:00"/>
    <n v="6"/>
    <s v="June"/>
    <s v="2024"/>
    <x v="1"/>
    <n v="0.25714285714285712"/>
    <n v="0"/>
  </r>
  <r>
    <x v="2"/>
    <x v="1"/>
    <s v="Paseo"/>
    <s v="None"/>
    <n v="367"/>
    <n v="10"/>
    <n v="12"/>
    <n v="4404"/>
    <n v="0"/>
    <n v="4404"/>
    <n v="1101"/>
    <n v="3303"/>
    <d v="2024-07-01T00:00:00"/>
    <n v="7"/>
    <s v="July"/>
    <s v="2024"/>
    <x v="4"/>
    <n v="0.75"/>
    <n v="0"/>
  </r>
  <r>
    <x v="0"/>
    <x v="3"/>
    <s v="Paseo"/>
    <s v="None"/>
    <n v="883"/>
    <n v="10"/>
    <n v="7"/>
    <n v="6181"/>
    <n v="0"/>
    <n v="6181"/>
    <n v="4415"/>
    <n v="1766"/>
    <d v="2024-08-01T00:00:00"/>
    <n v="8"/>
    <s v="August"/>
    <s v="2024"/>
    <x v="5"/>
    <n v="0.2857142857142857"/>
    <n v="0"/>
  </r>
  <r>
    <x v="1"/>
    <x v="2"/>
    <s v="Paseo"/>
    <s v="None"/>
    <n v="549"/>
    <n v="10"/>
    <n v="15"/>
    <n v="8235"/>
    <n v="0"/>
    <n v="8235"/>
    <n v="5490"/>
    <n v="2745"/>
    <d v="2023-09-01T00:00:00"/>
    <n v="9"/>
    <s v="September"/>
    <s v="2023"/>
    <x v="9"/>
    <n v="0.33333333333333331"/>
    <n v="0"/>
  </r>
  <r>
    <x v="4"/>
    <x v="3"/>
    <s v="Paseo"/>
    <s v="None"/>
    <n v="788"/>
    <n v="10"/>
    <n v="300"/>
    <n v="236400"/>
    <n v="0"/>
    <n v="236400"/>
    <n v="197000"/>
    <n v="39400"/>
    <d v="2023-09-01T00:00:00"/>
    <n v="9"/>
    <s v="September"/>
    <s v="2023"/>
    <x v="9"/>
    <n v="0.16666666666666666"/>
    <n v="0"/>
  </r>
  <r>
    <x v="1"/>
    <x v="3"/>
    <s v="Paseo"/>
    <s v="None"/>
    <n v="2472"/>
    <n v="10"/>
    <n v="15"/>
    <n v="37080"/>
    <n v="0"/>
    <n v="37080"/>
    <n v="24720"/>
    <n v="12360"/>
    <d v="2024-09-01T00:00:00"/>
    <n v="9"/>
    <s v="September"/>
    <s v="2024"/>
    <x v="6"/>
    <n v="0.33333333333333331"/>
    <n v="0"/>
  </r>
  <r>
    <x v="0"/>
    <x v="4"/>
    <s v="Paseo"/>
    <s v="None"/>
    <n v="1143"/>
    <n v="10"/>
    <n v="7"/>
    <n v="8001"/>
    <n v="0"/>
    <n v="8001"/>
    <n v="5715"/>
    <n v="2286"/>
    <d v="2024-10-01T00:00:00"/>
    <n v="10"/>
    <s v="October"/>
    <s v="2024"/>
    <x v="10"/>
    <n v="0.2857142857142857"/>
    <n v="0"/>
  </r>
  <r>
    <x v="0"/>
    <x v="0"/>
    <s v="Paseo"/>
    <s v="None"/>
    <n v="1725"/>
    <n v="10"/>
    <n v="350"/>
    <n v="603750"/>
    <n v="0"/>
    <n v="603750"/>
    <n v="448500"/>
    <n v="155250"/>
    <d v="2023-11-01T00:00:00"/>
    <n v="11"/>
    <s v="November"/>
    <s v="2023"/>
    <x v="11"/>
    <n v="0.25714285714285712"/>
    <n v="0"/>
  </r>
  <r>
    <x v="2"/>
    <x v="4"/>
    <s v="Paseo"/>
    <s v="None"/>
    <n v="912"/>
    <n v="10"/>
    <n v="12"/>
    <n v="10944"/>
    <n v="0"/>
    <n v="10944"/>
    <n v="2736"/>
    <n v="8208"/>
    <d v="2023-11-01T00:00:00"/>
    <n v="11"/>
    <s v="November"/>
    <s v="2023"/>
    <x v="11"/>
    <n v="0.75"/>
    <n v="0"/>
  </r>
  <r>
    <x v="1"/>
    <x v="0"/>
    <s v="Paseo"/>
    <s v="None"/>
    <n v="2152"/>
    <n v="10"/>
    <n v="15"/>
    <n v="32280"/>
    <n v="0"/>
    <n v="32280"/>
    <n v="21520"/>
    <n v="10760"/>
    <d v="2023-12-01T00:00:00"/>
    <n v="12"/>
    <s v="December"/>
    <s v="2023"/>
    <x v="12"/>
    <n v="0.33333333333333331"/>
    <n v="0"/>
  </r>
  <r>
    <x v="0"/>
    <x v="0"/>
    <s v="Paseo"/>
    <s v="None"/>
    <n v="1817"/>
    <n v="10"/>
    <n v="20"/>
    <n v="36340"/>
    <n v="0"/>
    <n v="36340"/>
    <n v="18170"/>
    <n v="18170"/>
    <d v="2024-12-01T00:00:00"/>
    <n v="12"/>
    <s v="December"/>
    <s v="2024"/>
    <x v="2"/>
    <n v="0.5"/>
    <n v="0"/>
  </r>
  <r>
    <x v="0"/>
    <x v="1"/>
    <s v="Paseo"/>
    <s v="None"/>
    <n v="1513"/>
    <n v="10"/>
    <n v="350"/>
    <n v="529550"/>
    <n v="0"/>
    <n v="529550"/>
    <n v="393380"/>
    <n v="136170"/>
    <d v="2024-12-01T00:00:00"/>
    <n v="12"/>
    <s v="December"/>
    <s v="2024"/>
    <x v="2"/>
    <n v="0.25714285714285712"/>
    <n v="0"/>
  </r>
  <r>
    <x v="0"/>
    <x v="3"/>
    <s v="Velo"/>
    <s v="None"/>
    <n v="1493"/>
    <n v="120"/>
    <n v="7"/>
    <n v="10451"/>
    <n v="0"/>
    <n v="10451"/>
    <n v="7465"/>
    <n v="2986"/>
    <d v="2024-01-01T00:00:00"/>
    <n v="1"/>
    <s v="January"/>
    <s v="2024"/>
    <x v="0"/>
    <n v="0.2857142857142857"/>
    <n v="0"/>
  </r>
  <r>
    <x v="3"/>
    <x v="2"/>
    <s v="Velo"/>
    <s v="None"/>
    <n v="1804"/>
    <n v="120"/>
    <n v="125"/>
    <n v="225500"/>
    <n v="0"/>
    <n v="225500"/>
    <n v="216480"/>
    <n v="9020"/>
    <d v="2024-02-01T00:00:00"/>
    <n v="2"/>
    <s v="February"/>
    <s v="2024"/>
    <x v="8"/>
    <n v="0.04"/>
    <n v="0"/>
  </r>
  <r>
    <x v="2"/>
    <x v="1"/>
    <s v="Velo"/>
    <s v="None"/>
    <n v="2161"/>
    <n v="120"/>
    <n v="12"/>
    <n v="25932"/>
    <n v="0"/>
    <n v="25932"/>
    <n v="6483"/>
    <n v="19449"/>
    <d v="2024-03-01T00:00:00"/>
    <n v="3"/>
    <s v="March"/>
    <s v="2024"/>
    <x v="3"/>
    <n v="0.75"/>
    <n v="0"/>
  </r>
  <r>
    <x v="0"/>
    <x v="1"/>
    <s v="Velo"/>
    <s v="None"/>
    <n v="1006"/>
    <n v="120"/>
    <n v="350"/>
    <n v="352100"/>
    <n v="0"/>
    <n v="352100"/>
    <n v="261560"/>
    <n v="90540"/>
    <d v="2024-06-01T00:00:00"/>
    <n v="6"/>
    <s v="June"/>
    <s v="2024"/>
    <x v="1"/>
    <n v="0.25714285714285712"/>
    <n v="0"/>
  </r>
  <r>
    <x v="2"/>
    <x v="1"/>
    <s v="Velo"/>
    <s v="None"/>
    <n v="1545"/>
    <n v="120"/>
    <n v="12"/>
    <n v="18540"/>
    <n v="0"/>
    <n v="18540"/>
    <n v="4635"/>
    <n v="13905"/>
    <d v="2024-06-01T00:00:00"/>
    <n v="6"/>
    <s v="June"/>
    <s v="2024"/>
    <x v="1"/>
    <n v="0.75"/>
    <n v="0"/>
  </r>
  <r>
    <x v="3"/>
    <x v="4"/>
    <s v="Velo"/>
    <s v="None"/>
    <n v="2821"/>
    <n v="120"/>
    <n v="125"/>
    <n v="352625"/>
    <n v="0"/>
    <n v="352625"/>
    <n v="338520"/>
    <n v="14105"/>
    <d v="2024-08-01T00:00:00"/>
    <n v="8"/>
    <s v="August"/>
    <s v="2024"/>
    <x v="5"/>
    <n v="0.04"/>
    <n v="0"/>
  </r>
  <r>
    <x v="3"/>
    <x v="0"/>
    <s v="Velo"/>
    <s v="None"/>
    <n v="345"/>
    <n v="120"/>
    <n v="125"/>
    <n v="43125"/>
    <n v="0"/>
    <n v="43125"/>
    <n v="41400"/>
    <n v="1725"/>
    <d v="2023-10-01T00:00:00"/>
    <n v="10"/>
    <s v="October"/>
    <s v="2023"/>
    <x v="7"/>
    <n v="0.04"/>
    <n v="0"/>
  </r>
  <r>
    <x v="4"/>
    <x v="0"/>
    <s v="VTT"/>
    <s v="None"/>
    <n v="2001"/>
    <n v="250"/>
    <n v="300"/>
    <n v="600300"/>
    <n v="0"/>
    <n v="600300"/>
    <n v="500250"/>
    <n v="100050"/>
    <d v="2024-02-01T00:00:00"/>
    <n v="2"/>
    <s v="February"/>
    <s v="2024"/>
    <x v="8"/>
    <n v="0.16666666666666666"/>
    <n v="0"/>
  </r>
  <r>
    <x v="2"/>
    <x v="1"/>
    <s v="VTT"/>
    <s v="None"/>
    <n v="2838"/>
    <n v="250"/>
    <n v="12"/>
    <n v="34056"/>
    <n v="0"/>
    <n v="34056"/>
    <n v="8514"/>
    <n v="25542"/>
    <d v="2024-04-01T00:00:00"/>
    <n v="4"/>
    <s v="April"/>
    <s v="2024"/>
    <x v="13"/>
    <n v="0.75"/>
    <n v="0"/>
  </r>
  <r>
    <x v="1"/>
    <x v="2"/>
    <s v="VTT"/>
    <s v="None"/>
    <n v="2178"/>
    <n v="250"/>
    <n v="15"/>
    <n v="32670"/>
    <n v="0"/>
    <n v="32670"/>
    <n v="21780"/>
    <n v="10890"/>
    <d v="2024-06-01T00:00:00"/>
    <n v="6"/>
    <s v="June"/>
    <s v="2024"/>
    <x v="1"/>
    <n v="0.33333333333333331"/>
    <n v="0"/>
  </r>
  <r>
    <x v="1"/>
    <x v="1"/>
    <s v="VTT"/>
    <s v="None"/>
    <n v="888"/>
    <n v="250"/>
    <n v="15"/>
    <n v="13320"/>
    <n v="0"/>
    <n v="13320"/>
    <n v="8880"/>
    <n v="4440"/>
    <d v="2024-06-01T00:00:00"/>
    <n v="6"/>
    <s v="June"/>
    <s v="2024"/>
    <x v="1"/>
    <n v="0.33333333333333331"/>
    <n v="0"/>
  </r>
  <r>
    <x v="0"/>
    <x v="2"/>
    <s v="VTT"/>
    <s v="None"/>
    <n v="1527"/>
    <n v="250"/>
    <n v="350"/>
    <n v="534450"/>
    <n v="0"/>
    <n v="534450"/>
    <n v="397020"/>
    <n v="137430"/>
    <d v="2023-09-01T00:00:00"/>
    <n v="9"/>
    <s v="September"/>
    <s v="2023"/>
    <x v="9"/>
    <n v="0.25714285714285712"/>
    <n v="0"/>
  </r>
  <r>
    <x v="4"/>
    <x v="2"/>
    <s v="VTT"/>
    <s v="None"/>
    <n v="2151"/>
    <n v="250"/>
    <n v="300"/>
    <n v="645300"/>
    <n v="0"/>
    <n v="645300"/>
    <n v="537750"/>
    <n v="107550"/>
    <d v="2024-09-01T00:00:00"/>
    <n v="9"/>
    <s v="September"/>
    <s v="2024"/>
    <x v="6"/>
    <n v="0.16666666666666666"/>
    <n v="0"/>
  </r>
  <r>
    <x v="0"/>
    <x v="0"/>
    <s v="VTT"/>
    <s v="None"/>
    <n v="1817"/>
    <n v="250"/>
    <n v="20"/>
    <n v="36340"/>
    <n v="0"/>
    <n v="36340"/>
    <n v="18170"/>
    <n v="18170"/>
    <d v="2024-12-01T00:00:00"/>
    <n v="12"/>
    <s v="December"/>
    <s v="2024"/>
    <x v="2"/>
    <n v="0.5"/>
    <n v="0"/>
  </r>
  <r>
    <x v="0"/>
    <x v="2"/>
    <s v="Amarilla"/>
    <s v="None"/>
    <n v="2750"/>
    <n v="260"/>
    <n v="350"/>
    <n v="962500"/>
    <n v="0"/>
    <n v="962500"/>
    <n v="715000"/>
    <n v="247500"/>
    <d v="2024-02-01T00:00:00"/>
    <n v="2"/>
    <s v="February"/>
    <s v="2024"/>
    <x v="8"/>
    <n v="0.25714285714285712"/>
    <n v="0"/>
  </r>
  <r>
    <x v="2"/>
    <x v="4"/>
    <s v="Amarilla"/>
    <s v="None"/>
    <n v="1953"/>
    <n v="260"/>
    <n v="12"/>
    <n v="23436"/>
    <n v="0"/>
    <n v="23436"/>
    <n v="5859"/>
    <n v="17577"/>
    <d v="2024-04-01T00:00:00"/>
    <n v="4"/>
    <s v="April"/>
    <s v="2024"/>
    <x v="13"/>
    <n v="0.75"/>
    <n v="0"/>
  </r>
  <r>
    <x v="3"/>
    <x v="1"/>
    <s v="Amarilla"/>
    <s v="None"/>
    <n v="4219.5"/>
    <n v="260"/>
    <n v="125"/>
    <n v="527437.5"/>
    <n v="0"/>
    <n v="527437.5"/>
    <n v="506340"/>
    <n v="21097.5"/>
    <d v="2024-04-01T00:00:00"/>
    <n v="4"/>
    <s v="April"/>
    <s v="2024"/>
    <x v="13"/>
    <n v="0.04"/>
    <n v="0"/>
  </r>
  <r>
    <x v="0"/>
    <x v="2"/>
    <s v="Amarilla"/>
    <s v="None"/>
    <n v="1899"/>
    <n v="260"/>
    <n v="20"/>
    <n v="37980"/>
    <n v="0"/>
    <n v="37980"/>
    <n v="18990"/>
    <n v="18990"/>
    <d v="2024-06-01T00:00:00"/>
    <n v="6"/>
    <s v="June"/>
    <s v="2024"/>
    <x v="1"/>
    <n v="0.5"/>
    <n v="0"/>
  </r>
  <r>
    <x v="0"/>
    <x v="1"/>
    <s v="Amarilla"/>
    <s v="None"/>
    <n v="1686"/>
    <n v="260"/>
    <n v="7"/>
    <n v="11802"/>
    <n v="0"/>
    <n v="11802"/>
    <n v="8430"/>
    <n v="3372"/>
    <d v="2024-07-01T00:00:00"/>
    <n v="7"/>
    <s v="July"/>
    <s v="2024"/>
    <x v="4"/>
    <n v="0.2857142857142857"/>
    <n v="0"/>
  </r>
  <r>
    <x v="2"/>
    <x v="4"/>
    <s v="Amarilla"/>
    <s v="None"/>
    <n v="2141"/>
    <n v="260"/>
    <n v="12"/>
    <n v="25692"/>
    <n v="0"/>
    <n v="25692"/>
    <n v="6423"/>
    <n v="19269"/>
    <d v="2024-08-01T00:00:00"/>
    <n v="8"/>
    <s v="August"/>
    <s v="2024"/>
    <x v="5"/>
    <n v="0.75"/>
    <n v="0"/>
  </r>
  <r>
    <x v="0"/>
    <x v="4"/>
    <s v="Amarilla"/>
    <s v="None"/>
    <n v="1143"/>
    <n v="260"/>
    <n v="7"/>
    <n v="8001"/>
    <n v="0"/>
    <n v="8001"/>
    <n v="5715"/>
    <n v="2286"/>
    <d v="2024-10-01T00:00:00"/>
    <n v="10"/>
    <s v="October"/>
    <s v="2024"/>
    <x v="10"/>
    <n v="0.2857142857142857"/>
    <n v="0"/>
  </r>
  <r>
    <x v="1"/>
    <x v="4"/>
    <s v="Amarilla"/>
    <s v="None"/>
    <n v="615"/>
    <n v="260"/>
    <n v="15"/>
    <n v="9225"/>
    <n v="0"/>
    <n v="9225"/>
    <n v="6150"/>
    <n v="3075"/>
    <d v="2024-12-01T00:00:00"/>
    <n v="12"/>
    <s v="December"/>
    <s v="2024"/>
    <x v="2"/>
    <n v="0.33333333333333331"/>
    <n v="0"/>
  </r>
  <r>
    <x v="0"/>
    <x v="2"/>
    <s v="Paseo"/>
    <s v="Low"/>
    <n v="3945"/>
    <n v="10"/>
    <n v="7"/>
    <n v="27615"/>
    <n v="276.14999999999998"/>
    <n v="27338.850000000002"/>
    <n v="19725"/>
    <n v="7613.8500000000022"/>
    <d v="2024-01-01T00:00:00"/>
    <n v="1"/>
    <s v="January"/>
    <s v="2024"/>
    <x v="0"/>
    <n v="0.27849927849927858"/>
    <n v="9.9999999999999985E-3"/>
  </r>
  <r>
    <x v="1"/>
    <x v="2"/>
    <s v="Paseo"/>
    <s v="Low"/>
    <n v="2296"/>
    <n v="10"/>
    <n v="15"/>
    <n v="34440"/>
    <n v="344.4"/>
    <n v="34095.599999999999"/>
    <n v="22960"/>
    <n v="11135.599999999999"/>
    <d v="2024-02-01T00:00:00"/>
    <n v="2"/>
    <s v="February"/>
    <s v="2024"/>
    <x v="8"/>
    <n v="0.32659932659932656"/>
    <n v="9.9999999999999985E-3"/>
  </r>
  <r>
    <x v="0"/>
    <x v="2"/>
    <s v="Paseo"/>
    <s v="Low"/>
    <n v="1030"/>
    <n v="10"/>
    <n v="7"/>
    <n v="7210"/>
    <n v="72.099999999999994"/>
    <n v="7137.9"/>
    <n v="5150"/>
    <n v="1987.8999999999996"/>
    <d v="2024-05-01T00:00:00"/>
    <n v="5"/>
    <s v="May"/>
    <s v="2024"/>
    <x v="14"/>
    <n v="0.27849927849927847"/>
    <n v="9.9999999999999985E-3"/>
  </r>
  <r>
    <x v="0"/>
    <x v="2"/>
    <s v="Velo"/>
    <s v="Low"/>
    <n v="639"/>
    <n v="120"/>
    <n v="7"/>
    <n v="4473"/>
    <n v="44.73"/>
    <n v="4428.2700000000004"/>
    <n v="3195"/>
    <n v="1233.2700000000004"/>
    <d v="2024-11-01T00:00:00"/>
    <n v="11"/>
    <s v="November"/>
    <s v="2024"/>
    <x v="15"/>
    <n v="0.27849927849927858"/>
    <n v="9.9999999999999985E-3"/>
  </r>
  <r>
    <x v="0"/>
    <x v="0"/>
    <s v="VTT"/>
    <s v="Low"/>
    <n v="1326"/>
    <n v="250"/>
    <n v="7"/>
    <n v="9282"/>
    <n v="92.82"/>
    <n v="9189.18"/>
    <n v="6630"/>
    <n v="2559.1800000000003"/>
    <d v="2024-03-01T00:00:00"/>
    <n v="3"/>
    <s v="March"/>
    <s v="2024"/>
    <x v="3"/>
    <n v="0.27849927849927852"/>
    <n v="9.9999999999999985E-3"/>
  </r>
  <r>
    <x v="2"/>
    <x v="4"/>
    <s v="Carretera"/>
    <s v="Low"/>
    <n v="1858"/>
    <n v="3"/>
    <n v="12"/>
    <n v="22296"/>
    <n v="222.96"/>
    <n v="22073.040000000001"/>
    <n v="5574"/>
    <n v="16499.04"/>
    <d v="2024-02-01T00:00:00"/>
    <n v="2"/>
    <s v="February"/>
    <s v="2024"/>
    <x v="8"/>
    <n v="0.74747474747474751"/>
    <n v="0.01"/>
  </r>
  <r>
    <x v="0"/>
    <x v="3"/>
    <s v="Carretera"/>
    <s v="Low"/>
    <n v="1210"/>
    <n v="3"/>
    <n v="350"/>
    <n v="423500"/>
    <n v="4235"/>
    <n v="419265"/>
    <n v="314600"/>
    <n v="104665"/>
    <d v="2024-03-01T00:00:00"/>
    <n v="3"/>
    <s v="March"/>
    <s v="2024"/>
    <x v="3"/>
    <n v="0.24963924963924963"/>
    <n v="0.01"/>
  </r>
  <r>
    <x v="0"/>
    <x v="4"/>
    <s v="Carretera"/>
    <s v="Low"/>
    <n v="2529"/>
    <n v="3"/>
    <n v="7"/>
    <n v="17703"/>
    <n v="177.03"/>
    <n v="17525.97"/>
    <n v="12645"/>
    <n v="4880.9699999999993"/>
    <d v="2024-07-01T00:00:00"/>
    <n v="7"/>
    <s v="July"/>
    <s v="2024"/>
    <x v="4"/>
    <n v="0.27849927849927847"/>
    <n v="0.01"/>
  </r>
  <r>
    <x v="2"/>
    <x v="0"/>
    <s v="Carretera"/>
    <s v="Low"/>
    <n v="1445"/>
    <n v="3"/>
    <n v="12"/>
    <n v="17340"/>
    <n v="173.4"/>
    <n v="17166.599999999999"/>
    <n v="4335"/>
    <n v="12831.599999999999"/>
    <d v="2024-09-01T00:00:00"/>
    <n v="9"/>
    <s v="September"/>
    <s v="2024"/>
    <x v="6"/>
    <n v="0.7474747474747474"/>
    <n v="0.01"/>
  </r>
  <r>
    <x v="3"/>
    <x v="4"/>
    <s v="Carretera"/>
    <s v="Low"/>
    <n v="330"/>
    <n v="3"/>
    <n v="125"/>
    <n v="41250"/>
    <n v="412.5"/>
    <n v="40837.5"/>
    <n v="39600"/>
    <n v="1237.5"/>
    <d v="2023-09-01T00:00:00"/>
    <n v="9"/>
    <s v="September"/>
    <s v="2023"/>
    <x v="9"/>
    <n v="3.0303030303030304E-2"/>
    <n v="0.01"/>
  </r>
  <r>
    <x v="2"/>
    <x v="2"/>
    <s v="Carretera"/>
    <s v="Low"/>
    <n v="2671"/>
    <n v="3"/>
    <n v="12"/>
    <n v="32052"/>
    <n v="320.52"/>
    <n v="31731.48"/>
    <n v="8013"/>
    <n v="23718.48"/>
    <d v="2024-09-01T00:00:00"/>
    <n v="9"/>
    <s v="September"/>
    <s v="2024"/>
    <x v="6"/>
    <n v="0.74747474747474751"/>
    <n v="0.01"/>
  </r>
  <r>
    <x v="2"/>
    <x v="1"/>
    <s v="Carretera"/>
    <s v="Low"/>
    <n v="766"/>
    <n v="3"/>
    <n v="12"/>
    <n v="9192"/>
    <n v="91.92"/>
    <n v="9100.08"/>
    <n v="2298"/>
    <n v="6802.08"/>
    <d v="2023-10-01T00:00:00"/>
    <n v="10"/>
    <s v="October"/>
    <s v="2023"/>
    <x v="7"/>
    <n v="0.74747474747474751"/>
    <n v="0.01"/>
  </r>
  <r>
    <x v="4"/>
    <x v="3"/>
    <s v="Carretera"/>
    <s v="Low"/>
    <n v="494"/>
    <n v="3"/>
    <n v="300"/>
    <n v="148200"/>
    <n v="1482"/>
    <n v="146718"/>
    <n v="123500"/>
    <n v="23218"/>
    <d v="2023-10-01T00:00:00"/>
    <n v="10"/>
    <s v="October"/>
    <s v="2023"/>
    <x v="7"/>
    <n v="0.15824915824915825"/>
    <n v="0.01"/>
  </r>
  <r>
    <x v="0"/>
    <x v="3"/>
    <s v="Carretera"/>
    <s v="Low"/>
    <n v="1397"/>
    <n v="3"/>
    <n v="350"/>
    <n v="488950"/>
    <n v="4889.5"/>
    <n v="484060.5"/>
    <n v="363220"/>
    <n v="120840.5"/>
    <d v="2024-10-01T00:00:00"/>
    <n v="10"/>
    <s v="October"/>
    <s v="2024"/>
    <x v="10"/>
    <n v="0.24963924963924963"/>
    <n v="0.01"/>
  </r>
  <r>
    <x v="0"/>
    <x v="2"/>
    <s v="Carretera"/>
    <s v="Low"/>
    <n v="2155"/>
    <n v="3"/>
    <n v="350"/>
    <n v="754250"/>
    <n v="7542.5"/>
    <n v="746707.5"/>
    <n v="560300"/>
    <n v="186407.5"/>
    <d v="2024-12-01T00:00:00"/>
    <n v="12"/>
    <s v="December"/>
    <s v="2024"/>
    <x v="2"/>
    <n v="0.24963924963924963"/>
    <n v="0.01"/>
  </r>
  <r>
    <x v="1"/>
    <x v="3"/>
    <s v="Montana"/>
    <s v="Low"/>
    <n v="2214"/>
    <n v="5"/>
    <n v="15"/>
    <n v="33210"/>
    <n v="332.1"/>
    <n v="32877.9"/>
    <n v="22140"/>
    <n v="10737.900000000001"/>
    <d v="2024-03-01T00:00:00"/>
    <n v="3"/>
    <s v="March"/>
    <s v="2024"/>
    <x v="3"/>
    <n v="0.32659932659932661"/>
    <n v="0.01"/>
  </r>
  <r>
    <x v="4"/>
    <x v="4"/>
    <s v="Montana"/>
    <s v="Low"/>
    <n v="2301"/>
    <n v="5"/>
    <n v="300"/>
    <n v="690300"/>
    <n v="6903"/>
    <n v="683397"/>
    <n v="575250"/>
    <n v="108147"/>
    <d v="2024-04-01T00:00:00"/>
    <n v="4"/>
    <s v="April"/>
    <s v="2024"/>
    <x v="13"/>
    <n v="0.15824915824915825"/>
    <n v="0.01"/>
  </r>
  <r>
    <x v="0"/>
    <x v="2"/>
    <s v="Montana"/>
    <s v="Low"/>
    <n v="1375.5"/>
    <n v="5"/>
    <n v="20"/>
    <n v="27510"/>
    <n v="275.10000000000002"/>
    <n v="27234.899999999998"/>
    <n v="13755"/>
    <n v="13479.899999999998"/>
    <d v="2024-07-01T00:00:00"/>
    <n v="7"/>
    <s v="July"/>
    <s v="2024"/>
    <x v="4"/>
    <n v="0.49494949494949492"/>
    <n v="0.01"/>
  </r>
  <r>
    <x v="0"/>
    <x v="0"/>
    <s v="Montana"/>
    <s v="Low"/>
    <n v="1830"/>
    <n v="5"/>
    <n v="7"/>
    <n v="12810"/>
    <n v="128.1"/>
    <n v="12681.9"/>
    <n v="9150"/>
    <n v="3531.8999999999996"/>
    <d v="2024-08-01T00:00:00"/>
    <n v="8"/>
    <s v="August"/>
    <s v="2024"/>
    <x v="5"/>
    <n v="0.27849927849927847"/>
    <n v="0.01"/>
  </r>
  <r>
    <x v="4"/>
    <x v="4"/>
    <s v="Montana"/>
    <s v="Low"/>
    <n v="2498"/>
    <n v="5"/>
    <n v="300"/>
    <n v="749400"/>
    <n v="7494"/>
    <n v="741906"/>
    <n v="624500"/>
    <n v="117406"/>
    <d v="2023-09-01T00:00:00"/>
    <n v="9"/>
    <s v="September"/>
    <s v="2023"/>
    <x v="9"/>
    <n v="0.15824915824915825"/>
    <n v="0.01"/>
  </r>
  <r>
    <x v="3"/>
    <x v="4"/>
    <s v="Montana"/>
    <s v="Low"/>
    <n v="663"/>
    <n v="5"/>
    <n v="125"/>
    <n v="82875"/>
    <n v="828.75"/>
    <n v="82046.25"/>
    <n v="79560"/>
    <n v="2486.25"/>
    <d v="2023-10-01T00:00:00"/>
    <n v="10"/>
    <s v="October"/>
    <s v="2023"/>
    <x v="7"/>
    <n v="3.0303030303030304E-2"/>
    <n v="0.01"/>
  </r>
  <r>
    <x v="1"/>
    <x v="4"/>
    <s v="Paseo"/>
    <s v="Low"/>
    <n v="1514"/>
    <n v="10"/>
    <n v="15"/>
    <n v="22710"/>
    <n v="227.1"/>
    <n v="22482.9"/>
    <n v="15140"/>
    <n v="7342.9000000000015"/>
    <d v="2024-02-01T00:00:00"/>
    <n v="2"/>
    <s v="February"/>
    <s v="2024"/>
    <x v="8"/>
    <n v="0.32659932659932667"/>
    <n v="0.01"/>
  </r>
  <r>
    <x v="0"/>
    <x v="4"/>
    <s v="Paseo"/>
    <s v="Low"/>
    <n v="4492.5"/>
    <n v="10"/>
    <n v="7"/>
    <n v="31447.5"/>
    <n v="314.47500000000002"/>
    <n v="31133.024999999998"/>
    <n v="22462.5"/>
    <n v="8670.5249999999978"/>
    <d v="2024-04-01T00:00:00"/>
    <n v="4"/>
    <s v="April"/>
    <s v="2024"/>
    <x v="13"/>
    <n v="0.27849927849927847"/>
    <n v="0.01"/>
  </r>
  <r>
    <x v="3"/>
    <x v="4"/>
    <s v="Paseo"/>
    <s v="Low"/>
    <n v="727"/>
    <n v="10"/>
    <n v="125"/>
    <n v="90875"/>
    <n v="908.75"/>
    <n v="89966.25"/>
    <n v="87240"/>
    <n v="2726.25"/>
    <d v="2024-06-01T00:00:00"/>
    <n v="6"/>
    <s v="June"/>
    <s v="2024"/>
    <x v="1"/>
    <n v="3.0303030303030304E-2"/>
    <n v="0.01"/>
  </r>
  <r>
    <x v="3"/>
    <x v="2"/>
    <s v="Paseo"/>
    <s v="Low"/>
    <n v="787"/>
    <n v="10"/>
    <n v="125"/>
    <n v="98375"/>
    <n v="983.75"/>
    <n v="97391.25"/>
    <n v="94440"/>
    <n v="2951.25"/>
    <d v="2024-06-01T00:00:00"/>
    <n v="6"/>
    <s v="June"/>
    <s v="2024"/>
    <x v="1"/>
    <n v="3.0303030303030304E-2"/>
    <n v="0.01"/>
  </r>
  <r>
    <x v="3"/>
    <x v="3"/>
    <s v="Paseo"/>
    <s v="Low"/>
    <n v="1823"/>
    <n v="10"/>
    <n v="125"/>
    <n v="227875"/>
    <n v="2278.75"/>
    <n v="225596.25"/>
    <n v="218760"/>
    <n v="6836.25"/>
    <d v="2024-07-01T00:00:00"/>
    <n v="7"/>
    <s v="July"/>
    <s v="2024"/>
    <x v="4"/>
    <n v="3.0303030303030304E-2"/>
    <n v="0.01"/>
  </r>
  <r>
    <x v="1"/>
    <x v="1"/>
    <s v="Paseo"/>
    <s v="Low"/>
    <n v="747"/>
    <n v="10"/>
    <n v="15"/>
    <n v="11205"/>
    <n v="112.05"/>
    <n v="11092.95"/>
    <n v="7470"/>
    <n v="3622.9500000000007"/>
    <d v="2024-09-01T00:00:00"/>
    <n v="9"/>
    <s v="September"/>
    <s v="2024"/>
    <x v="6"/>
    <n v="0.32659932659932667"/>
    <n v="0.01"/>
  </r>
  <r>
    <x v="2"/>
    <x v="1"/>
    <s v="Paseo"/>
    <s v="Low"/>
    <n v="766"/>
    <n v="10"/>
    <n v="12"/>
    <n v="9192"/>
    <n v="91.92"/>
    <n v="9100.08"/>
    <n v="2298"/>
    <n v="6802.08"/>
    <d v="2023-10-01T00:00:00"/>
    <n v="10"/>
    <s v="October"/>
    <s v="2023"/>
    <x v="7"/>
    <n v="0.74747474747474751"/>
    <n v="0.01"/>
  </r>
  <r>
    <x v="4"/>
    <x v="4"/>
    <s v="Paseo"/>
    <s v="Low"/>
    <n v="2905"/>
    <n v="10"/>
    <n v="300"/>
    <n v="871500"/>
    <n v="8715"/>
    <n v="862785"/>
    <n v="726250"/>
    <n v="136535"/>
    <d v="2024-11-01T00:00:00"/>
    <n v="11"/>
    <s v="November"/>
    <s v="2024"/>
    <x v="15"/>
    <n v="0.15824915824915825"/>
    <n v="0.01"/>
  </r>
  <r>
    <x v="0"/>
    <x v="2"/>
    <s v="Paseo"/>
    <s v="Low"/>
    <n v="2155"/>
    <n v="10"/>
    <n v="350"/>
    <n v="754250"/>
    <n v="7542.5"/>
    <n v="746707.5"/>
    <n v="560300"/>
    <n v="186407.5"/>
    <d v="2024-12-01T00:00:00"/>
    <n v="12"/>
    <s v="December"/>
    <s v="2024"/>
    <x v="2"/>
    <n v="0.24963924963924963"/>
    <n v="0.01"/>
  </r>
  <r>
    <x v="0"/>
    <x v="2"/>
    <s v="Velo"/>
    <s v="Low"/>
    <n v="3864"/>
    <n v="120"/>
    <n v="20"/>
    <n v="77280"/>
    <n v="772.80000000000007"/>
    <n v="76507.200000000012"/>
    <n v="38640"/>
    <n v="37867.200000000004"/>
    <d v="2024-04-01T00:00:00"/>
    <n v="4"/>
    <s v="April"/>
    <s v="2024"/>
    <x v="13"/>
    <n v="0.49494949494949492"/>
    <n v="0.01"/>
  </r>
  <r>
    <x v="0"/>
    <x v="3"/>
    <s v="Velo"/>
    <s v="Low"/>
    <n v="362"/>
    <n v="120"/>
    <n v="7"/>
    <n v="2534"/>
    <n v="25.34"/>
    <n v="2508.66"/>
    <n v="1810"/>
    <n v="698.65999999999985"/>
    <d v="2024-05-01T00:00:00"/>
    <n v="5"/>
    <s v="May"/>
    <s v="2024"/>
    <x v="14"/>
    <n v="0.27849927849927847"/>
    <n v="0.01"/>
  </r>
  <r>
    <x v="3"/>
    <x v="0"/>
    <s v="Velo"/>
    <s v="Low"/>
    <n v="923"/>
    <n v="120"/>
    <n v="125"/>
    <n v="115375"/>
    <n v="1153.75"/>
    <n v="114221.25"/>
    <n v="110760"/>
    <n v="3461.25"/>
    <d v="2024-08-01T00:00:00"/>
    <n v="8"/>
    <s v="August"/>
    <s v="2024"/>
    <x v="5"/>
    <n v="3.0303030303030304E-2"/>
    <n v="0.01"/>
  </r>
  <r>
    <x v="3"/>
    <x v="4"/>
    <s v="Velo"/>
    <s v="Low"/>
    <n v="663"/>
    <n v="120"/>
    <n v="125"/>
    <n v="82875"/>
    <n v="828.75"/>
    <n v="82046.25"/>
    <n v="79560"/>
    <n v="2486.25"/>
    <d v="2023-10-01T00:00:00"/>
    <n v="10"/>
    <s v="October"/>
    <s v="2023"/>
    <x v="7"/>
    <n v="3.0303030303030304E-2"/>
    <n v="0.01"/>
  </r>
  <r>
    <x v="0"/>
    <x v="0"/>
    <s v="Velo"/>
    <s v="Low"/>
    <n v="2092"/>
    <n v="120"/>
    <n v="7"/>
    <n v="14644"/>
    <n v="146.44"/>
    <n v="14497.56"/>
    <n v="10460"/>
    <n v="4037.5599999999995"/>
    <d v="2023-11-01T00:00:00"/>
    <n v="11"/>
    <s v="November"/>
    <s v="2023"/>
    <x v="11"/>
    <n v="0.27849927849927847"/>
    <n v="0.01"/>
  </r>
  <r>
    <x v="0"/>
    <x v="1"/>
    <s v="VTT"/>
    <s v="Low"/>
    <n v="263"/>
    <n v="250"/>
    <n v="7"/>
    <n v="1841"/>
    <n v="18.41"/>
    <n v="1822.59"/>
    <n v="1315"/>
    <n v="507.58999999999992"/>
    <d v="2024-03-01T00:00:00"/>
    <n v="3"/>
    <s v="March"/>
    <s v="2024"/>
    <x v="3"/>
    <n v="0.27849927849927847"/>
    <n v="0.01"/>
  </r>
  <r>
    <x v="0"/>
    <x v="0"/>
    <s v="VTT"/>
    <s v="Low"/>
    <n v="943.5"/>
    <n v="250"/>
    <n v="350"/>
    <n v="330225"/>
    <n v="3302.25"/>
    <n v="326922.75"/>
    <n v="245310"/>
    <n v="81612.75"/>
    <d v="2024-04-01T00:00:00"/>
    <n v="4"/>
    <s v="April"/>
    <s v="2024"/>
    <x v="13"/>
    <n v="0.24963924963924963"/>
    <n v="0.01"/>
  </r>
  <r>
    <x v="3"/>
    <x v="4"/>
    <s v="VTT"/>
    <s v="Low"/>
    <n v="727"/>
    <n v="250"/>
    <n v="125"/>
    <n v="90875"/>
    <n v="908.75"/>
    <n v="89966.25"/>
    <n v="87240"/>
    <n v="2726.25"/>
    <d v="2024-06-01T00:00:00"/>
    <n v="6"/>
    <s v="June"/>
    <s v="2024"/>
    <x v="1"/>
    <n v="3.0303030303030304E-2"/>
    <n v="0.01"/>
  </r>
  <r>
    <x v="3"/>
    <x v="2"/>
    <s v="VTT"/>
    <s v="Low"/>
    <n v="787"/>
    <n v="250"/>
    <n v="125"/>
    <n v="98375"/>
    <n v="983.75"/>
    <n v="97391.25"/>
    <n v="94440"/>
    <n v="2951.25"/>
    <d v="2024-06-01T00:00:00"/>
    <n v="6"/>
    <s v="June"/>
    <s v="2024"/>
    <x v="1"/>
    <n v="3.0303030303030304E-2"/>
    <n v="0.01"/>
  </r>
  <r>
    <x v="4"/>
    <x v="1"/>
    <s v="VTT"/>
    <s v="Low"/>
    <n v="986"/>
    <n v="250"/>
    <n v="300"/>
    <n v="295800"/>
    <n v="2958"/>
    <n v="292842"/>
    <n v="246500"/>
    <n v="46342"/>
    <d v="2024-09-01T00:00:00"/>
    <n v="9"/>
    <s v="September"/>
    <s v="2024"/>
    <x v="6"/>
    <n v="0.15824915824915825"/>
    <n v="0.01"/>
  </r>
  <r>
    <x v="4"/>
    <x v="3"/>
    <s v="VTT"/>
    <s v="Low"/>
    <n v="494"/>
    <n v="250"/>
    <n v="300"/>
    <n v="148200"/>
    <n v="1482"/>
    <n v="146718"/>
    <n v="123500"/>
    <n v="23218"/>
    <d v="2023-10-01T00:00:00"/>
    <n v="10"/>
    <s v="October"/>
    <s v="2023"/>
    <x v="7"/>
    <n v="0.15824915824915825"/>
    <n v="0.01"/>
  </r>
  <r>
    <x v="0"/>
    <x v="3"/>
    <s v="VTT"/>
    <s v="Low"/>
    <n v="1397"/>
    <n v="250"/>
    <n v="350"/>
    <n v="488950"/>
    <n v="4889.5"/>
    <n v="484060.5"/>
    <n v="363220"/>
    <n v="120840.5"/>
    <d v="2024-10-01T00:00:00"/>
    <n v="10"/>
    <s v="October"/>
    <s v="2024"/>
    <x v="10"/>
    <n v="0.24963924963924963"/>
    <n v="0.01"/>
  </r>
  <r>
    <x v="3"/>
    <x v="2"/>
    <s v="VTT"/>
    <s v="Low"/>
    <n v="1744"/>
    <n v="250"/>
    <n v="125"/>
    <n v="218000"/>
    <n v="2180"/>
    <n v="215820"/>
    <n v="209280"/>
    <n v="6540"/>
    <d v="2024-11-01T00:00:00"/>
    <n v="11"/>
    <s v="November"/>
    <s v="2024"/>
    <x v="15"/>
    <n v="3.0303030303030304E-2"/>
    <n v="0.01"/>
  </r>
  <r>
    <x v="2"/>
    <x v="4"/>
    <s v="Amarilla"/>
    <s v="Low"/>
    <n v="1989"/>
    <n v="260"/>
    <n v="12"/>
    <n v="23868"/>
    <n v="238.68"/>
    <n v="23629.32"/>
    <n v="5967"/>
    <n v="17662.32"/>
    <d v="2023-09-01T00:00:00"/>
    <n v="9"/>
    <s v="September"/>
    <s v="2023"/>
    <x v="9"/>
    <n v="0.74747474747474751"/>
    <n v="0.01"/>
  </r>
  <r>
    <x v="1"/>
    <x v="2"/>
    <s v="Amarilla"/>
    <s v="Low"/>
    <n v="321"/>
    <n v="260"/>
    <n v="15"/>
    <n v="4815"/>
    <n v="48.15"/>
    <n v="4766.8500000000004"/>
    <n v="3210"/>
    <n v="1556.8500000000004"/>
    <d v="2023-11-01T00:00:00"/>
    <n v="11"/>
    <s v="November"/>
    <s v="2023"/>
    <x v="11"/>
    <n v="0.32659932659932667"/>
    <n v="0.01"/>
  </r>
  <r>
    <x v="3"/>
    <x v="0"/>
    <s v="Carretera"/>
    <s v="Low"/>
    <n v="742.5"/>
    <n v="3"/>
    <n v="125"/>
    <n v="92812.5"/>
    <n v="1856.25"/>
    <n v="90956.25"/>
    <n v="89100"/>
    <n v="1856.25"/>
    <d v="2024-04-01T00:00:00"/>
    <n v="4"/>
    <s v="April"/>
    <s v="2024"/>
    <x v="13"/>
    <n v="2.0408163265306121E-2"/>
    <n v="0.02"/>
  </r>
  <r>
    <x v="2"/>
    <x v="0"/>
    <s v="Carretera"/>
    <s v="Low"/>
    <n v="1295"/>
    <n v="3"/>
    <n v="12"/>
    <n v="15540"/>
    <n v="310.8"/>
    <n v="15229.2"/>
    <n v="3885"/>
    <n v="11344.2"/>
    <d v="2024-10-01T00:00:00"/>
    <n v="10"/>
    <s v="October"/>
    <s v="2024"/>
    <x v="10"/>
    <n v="0.74489795918367352"/>
    <n v="0.02"/>
  </r>
  <r>
    <x v="4"/>
    <x v="1"/>
    <s v="Carretera"/>
    <s v="Low"/>
    <n v="214"/>
    <n v="3"/>
    <n v="300"/>
    <n v="64200"/>
    <n v="1284"/>
    <n v="62916"/>
    <n v="53500"/>
    <n v="9416"/>
    <d v="2023-10-01T00:00:00"/>
    <n v="10"/>
    <s v="October"/>
    <s v="2023"/>
    <x v="7"/>
    <n v="0.14965986394557823"/>
    <n v="0.02"/>
  </r>
  <r>
    <x v="0"/>
    <x v="2"/>
    <s v="Carretera"/>
    <s v="Low"/>
    <n v="2145"/>
    <n v="3"/>
    <n v="7"/>
    <n v="15015"/>
    <n v="300.3"/>
    <n v="14714.7"/>
    <n v="10725"/>
    <n v="3989.7000000000007"/>
    <d v="2023-11-01T00:00:00"/>
    <n v="11"/>
    <s v="November"/>
    <s v="2023"/>
    <x v="11"/>
    <n v="0.2711370262390671"/>
    <n v="0.02"/>
  </r>
  <r>
    <x v="0"/>
    <x v="0"/>
    <s v="Carretera"/>
    <s v="Low"/>
    <n v="2852"/>
    <n v="3"/>
    <n v="350"/>
    <n v="998200"/>
    <n v="19964"/>
    <n v="978236"/>
    <n v="741520"/>
    <n v="236716"/>
    <d v="2024-12-01T00:00:00"/>
    <n v="12"/>
    <s v="December"/>
    <s v="2024"/>
    <x v="2"/>
    <n v="0.24198250728862974"/>
    <n v="0.02"/>
  </r>
  <r>
    <x v="2"/>
    <x v="4"/>
    <s v="Montana"/>
    <s v="Low"/>
    <n v="1142"/>
    <n v="5"/>
    <n v="12"/>
    <n v="13704"/>
    <n v="274.08"/>
    <n v="13429.92"/>
    <n v="3426"/>
    <n v="10003.92"/>
    <d v="2024-06-01T00:00:00"/>
    <n v="6"/>
    <s v="June"/>
    <s v="2024"/>
    <x v="1"/>
    <n v="0.74489795918367352"/>
    <n v="0.02"/>
  </r>
  <r>
    <x v="0"/>
    <x v="4"/>
    <s v="Montana"/>
    <s v="Low"/>
    <n v="1566"/>
    <n v="5"/>
    <n v="20"/>
    <n v="31320"/>
    <n v="626.4"/>
    <n v="30693.599999999999"/>
    <n v="15660"/>
    <n v="15033.599999999999"/>
    <d v="2024-10-01T00:00:00"/>
    <n v="10"/>
    <s v="October"/>
    <s v="2024"/>
    <x v="10"/>
    <n v="0.48979591836734693"/>
    <n v="0.02"/>
  </r>
  <r>
    <x v="2"/>
    <x v="3"/>
    <s v="Montana"/>
    <s v="Low"/>
    <n v="690"/>
    <n v="5"/>
    <n v="12"/>
    <n v="8280"/>
    <n v="165.6"/>
    <n v="8114.4"/>
    <n v="2070"/>
    <n v="6044.4"/>
    <d v="2024-11-01T00:00:00"/>
    <n v="11"/>
    <s v="November"/>
    <s v="2024"/>
    <x v="15"/>
    <n v="0.74489795918367341"/>
    <n v="0.02"/>
  </r>
  <r>
    <x v="3"/>
    <x v="3"/>
    <s v="Montana"/>
    <s v="Low"/>
    <n v="1660"/>
    <n v="5"/>
    <n v="125"/>
    <n v="207500"/>
    <n v="4150"/>
    <n v="203350"/>
    <n v="199200"/>
    <n v="4150"/>
    <d v="2023-11-01T00:00:00"/>
    <n v="11"/>
    <s v="November"/>
    <s v="2023"/>
    <x v="11"/>
    <n v="2.0408163265306121E-2"/>
    <n v="0.02"/>
  </r>
  <r>
    <x v="1"/>
    <x v="0"/>
    <s v="Paseo"/>
    <s v="Low"/>
    <n v="2363"/>
    <n v="10"/>
    <n v="15"/>
    <n v="35445"/>
    <n v="708.9"/>
    <n v="34736.1"/>
    <n v="23630"/>
    <n v="11106.099999999999"/>
    <d v="2024-02-01T00:00:00"/>
    <n v="2"/>
    <s v="February"/>
    <s v="2024"/>
    <x v="8"/>
    <n v="0.31972789115646255"/>
    <n v="0.02"/>
  </r>
  <r>
    <x v="4"/>
    <x v="2"/>
    <s v="Paseo"/>
    <s v="Low"/>
    <n v="918"/>
    <n v="10"/>
    <n v="300"/>
    <n v="275400"/>
    <n v="5508"/>
    <n v="269892"/>
    <n v="229500"/>
    <n v="40392"/>
    <d v="2024-05-01T00:00:00"/>
    <n v="5"/>
    <s v="May"/>
    <s v="2024"/>
    <x v="14"/>
    <n v="0.14965986394557823"/>
    <n v="0.02"/>
  </r>
  <r>
    <x v="4"/>
    <x v="1"/>
    <s v="Paseo"/>
    <s v="Low"/>
    <n v="1728"/>
    <n v="10"/>
    <n v="300"/>
    <n v="518400"/>
    <n v="10368"/>
    <n v="508032"/>
    <n v="432000"/>
    <n v="76032"/>
    <d v="2024-05-01T00:00:00"/>
    <n v="5"/>
    <s v="May"/>
    <s v="2024"/>
    <x v="14"/>
    <n v="0.14965986394557823"/>
    <n v="0.02"/>
  </r>
  <r>
    <x v="2"/>
    <x v="4"/>
    <s v="Paseo"/>
    <s v="Low"/>
    <n v="1142"/>
    <n v="10"/>
    <n v="12"/>
    <n v="13704"/>
    <n v="274.08"/>
    <n v="13429.92"/>
    <n v="3426"/>
    <n v="10003.92"/>
    <d v="2024-06-01T00:00:00"/>
    <n v="6"/>
    <s v="June"/>
    <s v="2024"/>
    <x v="1"/>
    <n v="0.74489795918367352"/>
    <n v="0.02"/>
  </r>
  <r>
    <x v="3"/>
    <x v="3"/>
    <s v="Paseo"/>
    <s v="Low"/>
    <n v="662"/>
    <n v="10"/>
    <n v="125"/>
    <n v="82750"/>
    <n v="1655"/>
    <n v="81095"/>
    <n v="79440"/>
    <n v="1655"/>
    <d v="2024-06-01T00:00:00"/>
    <n v="6"/>
    <s v="June"/>
    <s v="2024"/>
    <x v="1"/>
    <n v="2.0408163265306121E-2"/>
    <n v="0.02"/>
  </r>
  <r>
    <x v="2"/>
    <x v="0"/>
    <s v="Paseo"/>
    <s v="Low"/>
    <n v="1295"/>
    <n v="10"/>
    <n v="12"/>
    <n v="15540"/>
    <n v="310.8"/>
    <n v="15229.2"/>
    <n v="3885"/>
    <n v="11344.2"/>
    <d v="2024-10-01T00:00:00"/>
    <n v="10"/>
    <s v="October"/>
    <s v="2024"/>
    <x v="10"/>
    <n v="0.74489795918367352"/>
    <n v="0.02"/>
  </r>
  <r>
    <x v="3"/>
    <x v="1"/>
    <s v="Paseo"/>
    <s v="Low"/>
    <n v="809"/>
    <n v="10"/>
    <n v="125"/>
    <n v="101125"/>
    <n v="2022.5"/>
    <n v="99102.5"/>
    <n v="97080"/>
    <n v="2022.5"/>
    <d v="2023-10-01T00:00:00"/>
    <n v="10"/>
    <s v="October"/>
    <s v="2023"/>
    <x v="7"/>
    <n v="2.0408163265306121E-2"/>
    <n v="0.02"/>
  </r>
  <r>
    <x v="3"/>
    <x v="3"/>
    <s v="Paseo"/>
    <s v="Low"/>
    <n v="2145"/>
    <n v="10"/>
    <n v="125"/>
    <n v="268125"/>
    <n v="5362.5"/>
    <n v="262762.5"/>
    <n v="257400"/>
    <n v="5362.5"/>
    <d v="2023-10-01T00:00:00"/>
    <n v="10"/>
    <s v="October"/>
    <s v="2023"/>
    <x v="7"/>
    <n v="2.0408163265306121E-2"/>
    <n v="0.02"/>
  </r>
  <r>
    <x v="2"/>
    <x v="2"/>
    <s v="Paseo"/>
    <s v="Low"/>
    <n v="1785"/>
    <n v="10"/>
    <n v="12"/>
    <n v="21420"/>
    <n v="428.4"/>
    <n v="20991.599999999999"/>
    <n v="5355"/>
    <n v="15636.599999999999"/>
    <d v="2023-11-01T00:00:00"/>
    <n v="11"/>
    <s v="November"/>
    <s v="2023"/>
    <x v="11"/>
    <n v="0.74489795918367341"/>
    <n v="0.02"/>
  </r>
  <r>
    <x v="4"/>
    <x v="0"/>
    <s v="Paseo"/>
    <s v="Low"/>
    <n v="1916"/>
    <n v="10"/>
    <n v="300"/>
    <n v="574800"/>
    <n v="11496"/>
    <n v="563304"/>
    <n v="479000"/>
    <n v="84304"/>
    <d v="2024-12-01T00:00:00"/>
    <n v="12"/>
    <s v="December"/>
    <s v="2024"/>
    <x v="2"/>
    <n v="0.14965986394557823"/>
    <n v="0.02"/>
  </r>
  <r>
    <x v="0"/>
    <x v="0"/>
    <s v="Paseo"/>
    <s v="Low"/>
    <n v="2852"/>
    <n v="10"/>
    <n v="350"/>
    <n v="998200"/>
    <n v="19964"/>
    <n v="978236"/>
    <n v="741520"/>
    <n v="236716"/>
    <d v="2024-12-01T00:00:00"/>
    <n v="12"/>
    <s v="December"/>
    <s v="2024"/>
    <x v="2"/>
    <n v="0.24198250728862974"/>
    <n v="0.02"/>
  </r>
  <r>
    <x v="3"/>
    <x v="0"/>
    <s v="Paseo"/>
    <s v="Low"/>
    <n v="2729"/>
    <n v="10"/>
    <n v="125"/>
    <n v="341125"/>
    <n v="6822.5"/>
    <n v="334302.5"/>
    <n v="327480"/>
    <n v="6822.5"/>
    <d v="2024-12-01T00:00:00"/>
    <n v="12"/>
    <s v="December"/>
    <s v="2024"/>
    <x v="2"/>
    <n v="2.0408163265306121E-2"/>
    <n v="0.02"/>
  </r>
  <r>
    <x v="1"/>
    <x v="4"/>
    <s v="Paseo"/>
    <s v="Low"/>
    <n v="1925"/>
    <n v="10"/>
    <n v="15"/>
    <n v="28875"/>
    <n v="577.5"/>
    <n v="28297.5"/>
    <n v="19250"/>
    <n v="9047.5"/>
    <d v="2023-12-01T00:00:00"/>
    <n v="12"/>
    <s v="December"/>
    <s v="2023"/>
    <x v="12"/>
    <n v="0.31972789115646261"/>
    <n v="0.02"/>
  </r>
  <r>
    <x v="0"/>
    <x v="4"/>
    <s v="Paseo"/>
    <s v="Low"/>
    <n v="2023"/>
    <n v="10"/>
    <n v="7"/>
    <n v="14091"/>
    <n v="281.82"/>
    <n v="13809.18"/>
    <n v="10065"/>
    <n v="3744.1800000000003"/>
    <d v="2023-12-01T00:00:00"/>
    <n v="12"/>
    <s v="December"/>
    <s v="2023"/>
    <x v="12"/>
    <n v="0.27113702623906705"/>
    <n v="0.02"/>
  </r>
  <r>
    <x v="2"/>
    <x v="2"/>
    <s v="Paseo"/>
    <s v="Low"/>
    <n v="1055"/>
    <n v="10"/>
    <n v="12"/>
    <n v="12660"/>
    <n v="253.2"/>
    <n v="12406.8"/>
    <n v="3165"/>
    <n v="9241.7999999999993"/>
    <d v="2024-12-01T00:00:00"/>
    <n v="12"/>
    <s v="December"/>
    <s v="2024"/>
    <x v="2"/>
    <n v="0.74489795918367341"/>
    <n v="0.02"/>
  </r>
  <r>
    <x v="2"/>
    <x v="3"/>
    <s v="Paseo"/>
    <s v="Low"/>
    <n v="1084"/>
    <n v="10"/>
    <n v="12"/>
    <n v="13008"/>
    <n v="260.16000000000003"/>
    <n v="12747.84"/>
    <n v="3252"/>
    <n v="9495.84"/>
    <d v="2024-12-01T00:00:00"/>
    <n v="12"/>
    <s v="December"/>
    <s v="2024"/>
    <x v="2"/>
    <n v="0.74489795918367352"/>
    <n v="0.02"/>
  </r>
  <r>
    <x v="0"/>
    <x v="4"/>
    <s v="Velo"/>
    <s v="Low"/>
    <n v="1566"/>
    <n v="120"/>
    <n v="20"/>
    <n v="31320"/>
    <n v="626.4"/>
    <n v="30693.599999999999"/>
    <n v="15660"/>
    <n v="15033.599999999999"/>
    <d v="2024-10-01T00:00:00"/>
    <n v="10"/>
    <s v="October"/>
    <s v="2024"/>
    <x v="10"/>
    <n v="0.48979591836734693"/>
    <n v="0.02"/>
  </r>
  <r>
    <x v="0"/>
    <x v="1"/>
    <s v="Velo"/>
    <s v="Low"/>
    <n v="2966"/>
    <n v="120"/>
    <n v="350"/>
    <n v="1038100"/>
    <n v="20762"/>
    <n v="1017338"/>
    <n v="771160"/>
    <n v="246178"/>
    <d v="2023-10-01T00:00:00"/>
    <n v="10"/>
    <s v="October"/>
    <s v="2023"/>
    <x v="7"/>
    <n v="0.24198250728862974"/>
    <n v="0.02"/>
  </r>
  <r>
    <x v="0"/>
    <x v="1"/>
    <s v="Velo"/>
    <s v="Low"/>
    <n v="2877"/>
    <n v="120"/>
    <n v="350"/>
    <n v="1006950"/>
    <n v="20239"/>
    <n v="986811"/>
    <n v="748020"/>
    <n v="238791"/>
    <d v="2024-10-01T00:00:00"/>
    <n v="10"/>
    <s v="October"/>
    <s v="2024"/>
    <x v="10"/>
    <n v="0.24198250728862974"/>
    <n v="2.0099309796911467E-2"/>
  </r>
  <r>
    <x v="3"/>
    <x v="1"/>
    <s v="Velo"/>
    <s v="Low"/>
    <n v="809"/>
    <n v="120"/>
    <n v="125"/>
    <n v="101125"/>
    <n v="2022.5"/>
    <n v="99102.5"/>
    <n v="97080"/>
    <n v="2022.5"/>
    <d v="2023-10-01T00:00:00"/>
    <n v="10"/>
    <s v="October"/>
    <s v="2023"/>
    <x v="7"/>
    <n v="2.0408163265306121E-2"/>
    <n v="0.02"/>
  </r>
  <r>
    <x v="3"/>
    <x v="3"/>
    <s v="Velo"/>
    <s v="Low"/>
    <n v="2145"/>
    <n v="120"/>
    <n v="125"/>
    <n v="268125"/>
    <n v="5362.5"/>
    <n v="262762.5"/>
    <n v="257400"/>
    <n v="5362.5"/>
    <d v="2023-10-01T00:00:00"/>
    <n v="10"/>
    <s v="October"/>
    <s v="2023"/>
    <x v="7"/>
    <n v="2.0408163265306121E-2"/>
    <n v="0.02"/>
  </r>
  <r>
    <x v="2"/>
    <x v="2"/>
    <s v="Velo"/>
    <s v="Low"/>
    <n v="1055"/>
    <n v="120"/>
    <n v="12"/>
    <n v="12660"/>
    <n v="253.2"/>
    <n v="12406.8"/>
    <n v="3165"/>
    <n v="9241.7999999999993"/>
    <d v="2024-12-01T00:00:00"/>
    <n v="12"/>
    <s v="December"/>
    <s v="2024"/>
    <x v="2"/>
    <n v="0.74489795918367341"/>
    <n v="0.02"/>
  </r>
  <r>
    <x v="0"/>
    <x v="3"/>
    <s v="Velo"/>
    <s v="Low"/>
    <n v="544"/>
    <n v="120"/>
    <n v="20"/>
    <n v="10880"/>
    <n v="217.6"/>
    <n v="10662.4"/>
    <n v="5440"/>
    <n v="5222.3999999999996"/>
    <d v="2023-12-01T00:00:00"/>
    <n v="12"/>
    <s v="December"/>
    <s v="2023"/>
    <x v="12"/>
    <n v="0.48979591836734693"/>
    <n v="0.02"/>
  </r>
  <r>
    <x v="2"/>
    <x v="3"/>
    <s v="Velo"/>
    <s v="Low"/>
    <n v="1084"/>
    <n v="120"/>
    <n v="12"/>
    <n v="13008"/>
    <n v="260.16000000000003"/>
    <n v="12747.84"/>
    <n v="3252"/>
    <n v="9495.84"/>
    <d v="2024-12-01T00:00:00"/>
    <n v="12"/>
    <s v="December"/>
    <s v="2024"/>
    <x v="2"/>
    <n v="0.74489795918367352"/>
    <n v="0.02"/>
  </r>
  <r>
    <x v="3"/>
    <x v="3"/>
    <s v="VTT"/>
    <s v="Low"/>
    <n v="662"/>
    <n v="250"/>
    <n v="125"/>
    <n v="82750"/>
    <n v="1655"/>
    <n v="81095"/>
    <n v="79440"/>
    <n v="1655"/>
    <d v="2024-06-01T00:00:00"/>
    <n v="6"/>
    <s v="June"/>
    <s v="2024"/>
    <x v="1"/>
    <n v="2.0408163265306121E-2"/>
    <n v="0.02"/>
  </r>
  <r>
    <x v="4"/>
    <x v="1"/>
    <s v="VTT"/>
    <s v="Low"/>
    <n v="214"/>
    <n v="250"/>
    <n v="300"/>
    <n v="64200"/>
    <n v="1284"/>
    <n v="62916"/>
    <n v="53500"/>
    <n v="9416"/>
    <d v="2023-10-01T00:00:00"/>
    <n v="10"/>
    <s v="October"/>
    <s v="2023"/>
    <x v="7"/>
    <n v="0.14965986394557823"/>
    <n v="0.02"/>
  </r>
  <r>
    <x v="0"/>
    <x v="1"/>
    <s v="VTT"/>
    <s v="Low"/>
    <n v="2877"/>
    <n v="250"/>
    <n v="350"/>
    <n v="1006950"/>
    <n v="20239"/>
    <n v="986811"/>
    <n v="748020"/>
    <n v="238791"/>
    <d v="2024-10-01T00:00:00"/>
    <n v="10"/>
    <s v="October"/>
    <s v="2024"/>
    <x v="10"/>
    <n v="0.24198250728862974"/>
    <n v="2.0099309796911467E-2"/>
  </r>
  <r>
    <x v="3"/>
    <x v="0"/>
    <s v="VTT"/>
    <s v="Low"/>
    <n v="2729"/>
    <n v="250"/>
    <n v="125"/>
    <n v="341125"/>
    <n v="6822.5"/>
    <n v="334302.5"/>
    <n v="327480"/>
    <n v="6822.5"/>
    <d v="2024-12-01T00:00:00"/>
    <n v="12"/>
    <s v="December"/>
    <s v="2024"/>
    <x v="2"/>
    <n v="2.0408163265306121E-2"/>
    <n v="0.02"/>
  </r>
  <r>
    <x v="0"/>
    <x v="4"/>
    <s v="VTT"/>
    <s v="Low"/>
    <n v="266"/>
    <n v="250"/>
    <n v="350"/>
    <n v="93100"/>
    <n v="1862"/>
    <n v="91238"/>
    <n v="69160"/>
    <n v="22078"/>
    <d v="2023-12-01T00:00:00"/>
    <n v="12"/>
    <s v="December"/>
    <s v="2023"/>
    <x v="12"/>
    <n v="0.24198250728862974"/>
    <n v="0.02"/>
  </r>
  <r>
    <x v="0"/>
    <x v="3"/>
    <s v="VTT"/>
    <s v="Low"/>
    <n v="1940"/>
    <n v="250"/>
    <n v="350"/>
    <n v="679000"/>
    <n v="13580"/>
    <n v="665420"/>
    <n v="504400"/>
    <n v="161020"/>
    <d v="2023-12-01T00:00:00"/>
    <n v="12"/>
    <s v="December"/>
    <s v="2023"/>
    <x v="12"/>
    <n v="0.24198250728862974"/>
    <n v="0.02"/>
  </r>
  <r>
    <x v="4"/>
    <x v="1"/>
    <s v="Amarilla"/>
    <s v="Low"/>
    <n v="259"/>
    <n v="260"/>
    <n v="300"/>
    <n v="77700"/>
    <n v="1554"/>
    <n v="76146"/>
    <n v="64750"/>
    <n v="11396"/>
    <d v="2024-03-01T00:00:00"/>
    <n v="3"/>
    <s v="March"/>
    <s v="2024"/>
    <x v="3"/>
    <n v="0.14965986394557823"/>
    <n v="0.02"/>
  </r>
  <r>
    <x v="4"/>
    <x v="3"/>
    <s v="Amarilla"/>
    <s v="Low"/>
    <n v="1101"/>
    <n v="260"/>
    <n v="300"/>
    <n v="330300"/>
    <n v="6606"/>
    <n v="323694"/>
    <n v="275250"/>
    <n v="48444"/>
    <d v="2024-03-01T00:00:00"/>
    <n v="3"/>
    <s v="March"/>
    <s v="2024"/>
    <x v="3"/>
    <n v="0.14965986394557823"/>
    <n v="0.02"/>
  </r>
  <r>
    <x v="3"/>
    <x v="1"/>
    <s v="Amarilla"/>
    <s v="Low"/>
    <n v="2276"/>
    <n v="260"/>
    <n v="125"/>
    <n v="284500"/>
    <n v="5690"/>
    <n v="278810"/>
    <n v="273120"/>
    <n v="5690"/>
    <d v="2024-05-01T00:00:00"/>
    <n v="5"/>
    <s v="May"/>
    <s v="2024"/>
    <x v="14"/>
    <n v="2.0408163265306121E-2"/>
    <n v="0.02"/>
  </r>
  <r>
    <x v="0"/>
    <x v="1"/>
    <s v="Amarilla"/>
    <s v="Low"/>
    <n v="2966"/>
    <n v="260"/>
    <n v="350"/>
    <n v="1038100"/>
    <n v="20762"/>
    <n v="1017338"/>
    <n v="771160"/>
    <n v="246178"/>
    <d v="2023-10-01T00:00:00"/>
    <n v="10"/>
    <s v="October"/>
    <s v="2023"/>
    <x v="7"/>
    <n v="0.24198250728862974"/>
    <n v="0.02"/>
  </r>
  <r>
    <x v="0"/>
    <x v="4"/>
    <s v="Amarilla"/>
    <s v="Low"/>
    <n v="1236"/>
    <n v="260"/>
    <n v="20"/>
    <n v="24720"/>
    <n v="494.4"/>
    <n v="24225.599999999999"/>
    <n v="12360"/>
    <n v="11865.599999999999"/>
    <d v="2024-11-01T00:00:00"/>
    <n v="11"/>
    <s v="November"/>
    <s v="2024"/>
    <x v="15"/>
    <n v="0.48979591836734693"/>
    <n v="0.02"/>
  </r>
  <r>
    <x v="0"/>
    <x v="2"/>
    <s v="Amarilla"/>
    <s v="Low"/>
    <n v="941"/>
    <n v="260"/>
    <n v="20"/>
    <n v="18820"/>
    <n v="376.4"/>
    <n v="18443.599999999999"/>
    <n v="9410"/>
    <n v="9033.5999999999985"/>
    <d v="2024-11-01T00:00:00"/>
    <n v="11"/>
    <s v="November"/>
    <s v="2024"/>
    <x v="15"/>
    <n v="0.48979591836734687"/>
    <n v="0.02"/>
  </r>
  <r>
    <x v="4"/>
    <x v="0"/>
    <s v="Amarilla"/>
    <s v="Low"/>
    <n v="1916"/>
    <n v="260"/>
    <n v="300"/>
    <n v="574800"/>
    <n v="11496"/>
    <n v="563304"/>
    <n v="479000"/>
    <n v="84304"/>
    <d v="2024-12-01T00:00:00"/>
    <n v="12"/>
    <s v="December"/>
    <s v="2024"/>
    <x v="2"/>
    <n v="0.14965986394557823"/>
    <n v="0.02"/>
  </r>
  <r>
    <x v="3"/>
    <x v="2"/>
    <s v="Carretera"/>
    <s v="Low"/>
    <n v="4243.5"/>
    <n v="3"/>
    <n v="125"/>
    <n v="530437.5"/>
    <n v="15913.125"/>
    <n v="514524.375"/>
    <n v="509220"/>
    <n v="5304.375"/>
    <d v="2024-04-01T00:00:00"/>
    <n v="4"/>
    <s v="April"/>
    <s v="2024"/>
    <x v="13"/>
    <n v="1.0309278350515464E-2"/>
    <n v="0.03"/>
  </r>
  <r>
    <x v="0"/>
    <x v="1"/>
    <s v="Carretera"/>
    <s v="Low"/>
    <n v="2580"/>
    <n v="3"/>
    <n v="20"/>
    <n v="51600"/>
    <n v="1548"/>
    <n v="50052"/>
    <n v="25800"/>
    <n v="24252"/>
    <d v="2024-04-01T00:00:00"/>
    <n v="4"/>
    <s v="April"/>
    <s v="2024"/>
    <x v="13"/>
    <n v="0.4845360824742268"/>
    <n v="0.03"/>
  </r>
  <r>
    <x v="4"/>
    <x v="1"/>
    <s v="Carretera"/>
    <s v="Low"/>
    <n v="689"/>
    <n v="3"/>
    <n v="300"/>
    <n v="206700"/>
    <n v="6201"/>
    <n v="200499"/>
    <n v="172250"/>
    <n v="28249"/>
    <d v="2024-06-01T00:00:00"/>
    <n v="6"/>
    <s v="June"/>
    <s v="2024"/>
    <x v="1"/>
    <n v="0.14089347079037801"/>
    <n v="0.03"/>
  </r>
  <r>
    <x v="2"/>
    <x v="4"/>
    <s v="Carretera"/>
    <s v="Low"/>
    <n v="1947"/>
    <n v="3"/>
    <n v="12"/>
    <n v="23364"/>
    <n v="700.92"/>
    <n v="22663.08"/>
    <n v="5841"/>
    <n v="16822.080000000002"/>
    <d v="2024-09-01T00:00:00"/>
    <n v="9"/>
    <s v="September"/>
    <s v="2024"/>
    <x v="6"/>
    <n v="0.74226804123711343"/>
    <n v="0.03"/>
  </r>
  <r>
    <x v="2"/>
    <x v="0"/>
    <s v="Carretera"/>
    <s v="Low"/>
    <n v="908"/>
    <n v="3"/>
    <n v="12"/>
    <n v="10896"/>
    <n v="326.88"/>
    <n v="10569.12"/>
    <n v="2724"/>
    <n v="7845.1200000000008"/>
    <d v="2023-12-01T00:00:00"/>
    <n v="12"/>
    <s v="December"/>
    <s v="2023"/>
    <x v="12"/>
    <n v="0.74226804123711343"/>
    <n v="0.03"/>
  </r>
  <r>
    <x v="0"/>
    <x v="1"/>
    <s v="Montana"/>
    <s v="Low"/>
    <n v="1958"/>
    <n v="5"/>
    <n v="7"/>
    <n v="13706"/>
    <n v="411.18"/>
    <n v="13294.82"/>
    <n v="9790"/>
    <n v="3504.8199999999997"/>
    <d v="2024-02-01T00:00:00"/>
    <n v="2"/>
    <s v="February"/>
    <s v="2024"/>
    <x v="8"/>
    <n v="0.26362297496318116"/>
    <n v="0.03"/>
  </r>
  <r>
    <x v="2"/>
    <x v="2"/>
    <s v="Montana"/>
    <s v="Low"/>
    <n v="1901"/>
    <n v="5"/>
    <n v="12"/>
    <n v="22812"/>
    <n v="684.36"/>
    <n v="22127.64"/>
    <n v="5703"/>
    <n v="16424.64"/>
    <d v="2024-06-01T00:00:00"/>
    <n v="6"/>
    <s v="June"/>
    <s v="2024"/>
    <x v="1"/>
    <n v="0.74226804123711343"/>
    <n v="0.03"/>
  </r>
  <r>
    <x v="0"/>
    <x v="2"/>
    <s v="Montana"/>
    <s v="Low"/>
    <n v="544"/>
    <n v="5"/>
    <n v="7"/>
    <n v="3808"/>
    <n v="114.24"/>
    <n v="3693.76"/>
    <n v="2720"/>
    <n v="973.76000000000022"/>
    <d v="2024-09-01T00:00:00"/>
    <n v="9"/>
    <s v="September"/>
    <s v="2024"/>
    <x v="6"/>
    <n v="0.26362297496318121"/>
    <n v="0.03"/>
  </r>
  <r>
    <x v="0"/>
    <x v="1"/>
    <s v="Montana"/>
    <s v="Low"/>
    <n v="1797"/>
    <n v="5"/>
    <n v="350"/>
    <n v="628950"/>
    <n v="18868.5"/>
    <n v="610081.5"/>
    <n v="467220"/>
    <n v="142861.5"/>
    <d v="2023-09-01T00:00:00"/>
    <n v="9"/>
    <s v="September"/>
    <s v="2023"/>
    <x v="9"/>
    <n v="0.2341678939617084"/>
    <n v="0.03"/>
  </r>
  <r>
    <x v="3"/>
    <x v="2"/>
    <s v="Montana"/>
    <s v="Low"/>
    <n v="1287"/>
    <n v="5"/>
    <n v="125"/>
    <n v="160875"/>
    <n v="4826.25"/>
    <n v="156048.75"/>
    <n v="154440"/>
    <n v="1608.75"/>
    <d v="2024-12-01T00:00:00"/>
    <n v="12"/>
    <s v="December"/>
    <s v="2024"/>
    <x v="2"/>
    <n v="1.0309278350515464E-2"/>
    <n v="0.03"/>
  </r>
  <r>
    <x v="3"/>
    <x v="1"/>
    <s v="Montana"/>
    <s v="Low"/>
    <n v="1706"/>
    <n v="5"/>
    <n v="125"/>
    <n v="213250"/>
    <n v="6397.5"/>
    <n v="206852.5"/>
    <n v="204720"/>
    <n v="2132.5"/>
    <d v="2024-12-01T00:00:00"/>
    <n v="12"/>
    <s v="December"/>
    <s v="2024"/>
    <x v="2"/>
    <n v="1.0309278350515464E-2"/>
    <n v="0.03"/>
  </r>
  <r>
    <x v="4"/>
    <x v="2"/>
    <s v="Paseo"/>
    <s v="Low"/>
    <n v="2434.5"/>
    <n v="10"/>
    <n v="300"/>
    <n v="730350"/>
    <n v="21910.5"/>
    <n v="708439.5"/>
    <n v="608625"/>
    <n v="99814.5"/>
    <d v="2024-01-01T00:00:00"/>
    <n v="1"/>
    <s v="January"/>
    <s v="2024"/>
    <x v="0"/>
    <n v="0.14089347079037801"/>
    <n v="0.03"/>
  </r>
  <r>
    <x v="3"/>
    <x v="0"/>
    <s v="Paseo"/>
    <s v="Low"/>
    <n v="1774"/>
    <n v="10"/>
    <n v="125"/>
    <n v="221750"/>
    <n v="6652.5"/>
    <n v="215097.5"/>
    <n v="212880"/>
    <n v="2217.5"/>
    <d v="2024-03-01T00:00:00"/>
    <n v="3"/>
    <s v="March"/>
    <s v="2024"/>
    <x v="3"/>
    <n v="1.0309278350515464E-2"/>
    <n v="0.03"/>
  </r>
  <r>
    <x v="2"/>
    <x v="2"/>
    <s v="Paseo"/>
    <s v="Low"/>
    <n v="1901"/>
    <n v="10"/>
    <n v="12"/>
    <n v="22812"/>
    <n v="684.36"/>
    <n v="22127.64"/>
    <n v="5703"/>
    <n v="16424.64"/>
    <d v="2024-06-01T00:00:00"/>
    <n v="6"/>
    <s v="June"/>
    <s v="2024"/>
    <x v="1"/>
    <n v="0.74226804123711343"/>
    <n v="0.03"/>
  </r>
  <r>
    <x v="4"/>
    <x v="1"/>
    <s v="Paseo"/>
    <s v="Low"/>
    <n v="689"/>
    <n v="10"/>
    <n v="300"/>
    <n v="206700"/>
    <n v="6201"/>
    <n v="200499"/>
    <n v="172250"/>
    <n v="28249"/>
    <d v="2024-06-01T00:00:00"/>
    <n v="6"/>
    <s v="June"/>
    <s v="2024"/>
    <x v="1"/>
    <n v="0.14089347079037801"/>
    <n v="0.03"/>
  </r>
  <r>
    <x v="3"/>
    <x v="1"/>
    <s v="Paseo"/>
    <s v="Low"/>
    <n v="1570"/>
    <n v="10"/>
    <n v="125"/>
    <n v="196250"/>
    <n v="5887.5"/>
    <n v="190362.5"/>
    <n v="188400"/>
    <n v="1962.5"/>
    <d v="2024-06-01T00:00:00"/>
    <n v="6"/>
    <s v="June"/>
    <s v="2024"/>
    <x v="1"/>
    <n v="1.0309278350515464E-2"/>
    <n v="0.03"/>
  </r>
  <r>
    <x v="2"/>
    <x v="4"/>
    <s v="Paseo"/>
    <s v="Low"/>
    <n v="1369.5"/>
    <n v="10"/>
    <n v="12"/>
    <n v="16434"/>
    <n v="493.02"/>
    <n v="15940.98"/>
    <n v="4108.5"/>
    <n v="11832.48"/>
    <d v="2024-07-01T00:00:00"/>
    <n v="7"/>
    <s v="July"/>
    <s v="2024"/>
    <x v="4"/>
    <n v="0.74226804123711343"/>
    <n v="0.03"/>
  </r>
  <r>
    <x v="3"/>
    <x v="0"/>
    <s v="Paseo"/>
    <s v="Low"/>
    <n v="2009"/>
    <n v="10"/>
    <n v="125"/>
    <n v="251125"/>
    <n v="7533.75"/>
    <n v="243591.25"/>
    <n v="241080"/>
    <n v="2511.25"/>
    <d v="2024-10-01T00:00:00"/>
    <n v="10"/>
    <s v="October"/>
    <s v="2024"/>
    <x v="10"/>
    <n v="1.0309278350515464E-2"/>
    <n v="0.03"/>
  </r>
  <r>
    <x v="1"/>
    <x v="1"/>
    <s v="Paseo"/>
    <s v="Low"/>
    <n v="1945"/>
    <n v="10"/>
    <n v="15"/>
    <n v="29175"/>
    <n v="875.25"/>
    <n v="28299.75"/>
    <n v="19450"/>
    <n v="8849.75"/>
    <d v="2023-10-01T00:00:00"/>
    <n v="10"/>
    <s v="October"/>
    <s v="2023"/>
    <x v="7"/>
    <n v="0.3127147766323024"/>
    <n v="0.03"/>
  </r>
  <r>
    <x v="3"/>
    <x v="2"/>
    <s v="Paseo"/>
    <s v="Low"/>
    <n v="1287"/>
    <n v="10"/>
    <n v="125"/>
    <n v="160875"/>
    <n v="4826.25"/>
    <n v="156048.75"/>
    <n v="154440"/>
    <n v="1608.75"/>
    <d v="2024-12-01T00:00:00"/>
    <n v="12"/>
    <s v="December"/>
    <s v="2024"/>
    <x v="2"/>
    <n v="1.0309278350515464E-2"/>
    <n v="0.03"/>
  </r>
  <r>
    <x v="3"/>
    <x v="1"/>
    <s v="Paseo"/>
    <s v="Low"/>
    <n v="1706"/>
    <n v="10"/>
    <n v="125"/>
    <n v="213250"/>
    <n v="6397.5"/>
    <n v="206852.5"/>
    <n v="204720"/>
    <n v="2132.5"/>
    <d v="2024-12-01T00:00:00"/>
    <n v="12"/>
    <s v="December"/>
    <s v="2024"/>
    <x v="2"/>
    <n v="1.0309278350515464E-2"/>
    <n v="0.03"/>
  </r>
  <r>
    <x v="3"/>
    <x v="0"/>
    <s v="Velo"/>
    <s v="Low"/>
    <n v="2009"/>
    <n v="120"/>
    <n v="125"/>
    <n v="251125"/>
    <n v="7533.75"/>
    <n v="243591.25"/>
    <n v="241080"/>
    <n v="2511.25"/>
    <d v="2024-10-01T00:00:00"/>
    <n v="10"/>
    <s v="October"/>
    <s v="2024"/>
    <x v="10"/>
    <n v="1.0309278350515464E-2"/>
    <n v="0.03"/>
  </r>
  <r>
    <x v="4"/>
    <x v="4"/>
    <s v="VTT"/>
    <s v="Low"/>
    <n v="2844"/>
    <n v="250"/>
    <n v="300"/>
    <n v="853200"/>
    <n v="25596"/>
    <n v="827604"/>
    <n v="711000"/>
    <n v="116604"/>
    <d v="2024-02-01T00:00:00"/>
    <n v="2"/>
    <s v="February"/>
    <s v="2024"/>
    <x v="8"/>
    <n v="0.14089347079037801"/>
    <n v="0.03"/>
  </r>
  <r>
    <x v="2"/>
    <x v="3"/>
    <s v="VTT"/>
    <s v="Low"/>
    <n v="1916"/>
    <n v="250"/>
    <n v="12"/>
    <n v="22992"/>
    <n v="689.76"/>
    <n v="22302.240000000002"/>
    <n v="5748"/>
    <n v="16554.240000000002"/>
    <d v="2024-04-01T00:00:00"/>
    <n v="4"/>
    <s v="April"/>
    <s v="2024"/>
    <x v="13"/>
    <n v="0.74226804123711343"/>
    <n v="0.03"/>
  </r>
  <r>
    <x v="3"/>
    <x v="1"/>
    <s v="VTT"/>
    <s v="Low"/>
    <n v="1570"/>
    <n v="250"/>
    <n v="125"/>
    <n v="196250"/>
    <n v="5887.5"/>
    <n v="190362.5"/>
    <n v="188400"/>
    <n v="1962.5"/>
    <d v="2024-06-01T00:00:00"/>
    <n v="6"/>
    <s v="June"/>
    <s v="2024"/>
    <x v="1"/>
    <n v="1.0309278350515464E-2"/>
    <n v="0.03"/>
  </r>
  <r>
    <x v="4"/>
    <x v="0"/>
    <s v="VTT"/>
    <s v="Low"/>
    <n v="1874"/>
    <n v="250"/>
    <n v="300"/>
    <n v="562200"/>
    <n v="16866"/>
    <n v="545334"/>
    <n v="468500"/>
    <n v="76834"/>
    <d v="2024-08-01T00:00:00"/>
    <n v="8"/>
    <s v="August"/>
    <s v="2024"/>
    <x v="5"/>
    <n v="0.14089347079037801"/>
    <n v="0.03"/>
  </r>
  <r>
    <x v="0"/>
    <x v="3"/>
    <s v="VTT"/>
    <s v="Low"/>
    <n v="1642"/>
    <n v="250"/>
    <n v="350"/>
    <n v="574700"/>
    <n v="17241"/>
    <n v="557459"/>
    <n v="426920"/>
    <n v="130539"/>
    <d v="2024-08-01T00:00:00"/>
    <n v="8"/>
    <s v="August"/>
    <s v="2024"/>
    <x v="5"/>
    <n v="0.2341678939617084"/>
    <n v="0.03"/>
  </r>
  <r>
    <x v="1"/>
    <x v="1"/>
    <s v="VTT"/>
    <s v="Low"/>
    <n v="1945"/>
    <n v="250"/>
    <n v="15"/>
    <n v="29175"/>
    <n v="875.25"/>
    <n v="28299.75"/>
    <n v="19450"/>
    <n v="8849.75"/>
    <d v="2023-10-01T00:00:00"/>
    <n v="10"/>
    <s v="October"/>
    <s v="2023"/>
    <x v="7"/>
    <n v="0.3127147766323024"/>
    <n v="0.03"/>
  </r>
  <r>
    <x v="0"/>
    <x v="0"/>
    <s v="Carretera"/>
    <s v="Low"/>
    <n v="831"/>
    <n v="3"/>
    <n v="20"/>
    <n v="16620"/>
    <n v="498.6"/>
    <n v="16121.4"/>
    <n v="8310"/>
    <n v="7811.4"/>
    <d v="2024-05-01T00:00:00"/>
    <n v="5"/>
    <s v="May"/>
    <s v="2024"/>
    <x v="14"/>
    <n v="0.4845360824742268"/>
    <n v="3.0000000000000002E-2"/>
  </r>
  <r>
    <x v="0"/>
    <x v="3"/>
    <s v="Paseo"/>
    <s v="Low"/>
    <n v="1760"/>
    <n v="10"/>
    <n v="7"/>
    <n v="12320"/>
    <n v="369.6"/>
    <n v="11950.4"/>
    <n v="8800"/>
    <n v="3150.3999999999996"/>
    <d v="2023-09-01T00:00:00"/>
    <n v="9"/>
    <s v="September"/>
    <s v="2023"/>
    <x v="9"/>
    <n v="0.2636229749631811"/>
    <n v="3.0000000000000002E-2"/>
  </r>
  <r>
    <x v="0"/>
    <x v="0"/>
    <s v="Velo"/>
    <s v="Low"/>
    <n v="3850.5"/>
    <n v="120"/>
    <n v="20"/>
    <n v="77010"/>
    <n v="2310.3000000000002"/>
    <n v="74699.700000000012"/>
    <n v="38505"/>
    <n v="36194.700000000004"/>
    <d v="2024-04-01T00:00:00"/>
    <n v="4"/>
    <s v="April"/>
    <s v="2024"/>
    <x v="13"/>
    <n v="0.4845360824742268"/>
    <n v="3.0000000000000002E-2"/>
  </r>
  <r>
    <x v="2"/>
    <x v="1"/>
    <s v="VTT"/>
    <s v="Low"/>
    <n v="2479"/>
    <n v="250"/>
    <n v="12"/>
    <n v="29748"/>
    <n v="892.44"/>
    <n v="28855.56"/>
    <n v="7437"/>
    <n v="21418.560000000001"/>
    <d v="2024-01-01T00:00:00"/>
    <n v="1"/>
    <s v="January"/>
    <s v="2024"/>
    <x v="0"/>
    <n v="0.74226804123711343"/>
    <n v="3.0000000000000002E-2"/>
  </r>
  <r>
    <x v="1"/>
    <x v="3"/>
    <s v="Montana"/>
    <s v="Low"/>
    <n v="2031"/>
    <n v="5"/>
    <n v="15"/>
    <n v="30465"/>
    <n v="1218.5999999999999"/>
    <n v="29246.400000000001"/>
    <n v="20310"/>
    <n v="8936.4000000000015"/>
    <d v="2024-10-01T00:00:00"/>
    <n v="10"/>
    <s v="October"/>
    <s v="2024"/>
    <x v="10"/>
    <n v="0.30555555555555558"/>
    <n v="3.9999999999999994E-2"/>
  </r>
  <r>
    <x v="1"/>
    <x v="3"/>
    <s v="Paseo"/>
    <s v="Low"/>
    <n v="2031"/>
    <n v="10"/>
    <n v="15"/>
    <n v="30465"/>
    <n v="1218.5999999999999"/>
    <n v="29246.400000000001"/>
    <n v="20310"/>
    <n v="8936.4000000000015"/>
    <d v="2024-10-01T00:00:00"/>
    <n v="10"/>
    <s v="October"/>
    <s v="2024"/>
    <x v="10"/>
    <n v="0.30555555555555558"/>
    <n v="3.9999999999999994E-2"/>
  </r>
  <r>
    <x v="1"/>
    <x v="2"/>
    <s v="Paseo"/>
    <s v="Low"/>
    <n v="2261"/>
    <n v="10"/>
    <n v="15"/>
    <n v="33915"/>
    <n v="1356.6"/>
    <n v="32558.400000000001"/>
    <n v="22610"/>
    <n v="9948.4000000000015"/>
    <d v="2023-12-01T00:00:00"/>
    <n v="12"/>
    <s v="December"/>
    <s v="2023"/>
    <x v="12"/>
    <n v="0.30555555555555558"/>
    <n v="3.9999999999999994E-2"/>
  </r>
  <r>
    <x v="0"/>
    <x v="4"/>
    <s v="Velo"/>
    <s v="Low"/>
    <n v="736"/>
    <n v="120"/>
    <n v="20"/>
    <n v="14720"/>
    <n v="588.79999999999995"/>
    <n v="14131.2"/>
    <n v="7360"/>
    <n v="6771.2000000000007"/>
    <d v="2023-09-01T00:00:00"/>
    <n v="9"/>
    <s v="September"/>
    <s v="2023"/>
    <x v="9"/>
    <n v="0.47916666666666669"/>
    <n v="3.9999999999999994E-2"/>
  </r>
  <r>
    <x v="0"/>
    <x v="0"/>
    <s v="Carretera"/>
    <s v="Low"/>
    <n v="2851"/>
    <n v="3"/>
    <n v="7"/>
    <n v="19957"/>
    <n v="798.28"/>
    <n v="19158.72"/>
    <n v="14255"/>
    <n v="4903.7200000000012"/>
    <d v="2023-10-01T00:00:00"/>
    <n v="10"/>
    <s v="October"/>
    <s v="2023"/>
    <x v="7"/>
    <n v="0.25595238095238099"/>
    <n v="0.04"/>
  </r>
  <r>
    <x v="4"/>
    <x v="1"/>
    <s v="Carretera"/>
    <s v="Low"/>
    <n v="2021"/>
    <n v="3"/>
    <n v="300"/>
    <n v="606300"/>
    <n v="24252"/>
    <n v="582048"/>
    <n v="505250"/>
    <n v="76798"/>
    <d v="2024-10-01T00:00:00"/>
    <n v="10"/>
    <s v="October"/>
    <s v="2024"/>
    <x v="10"/>
    <n v="0.13194444444444445"/>
    <n v="0.04"/>
  </r>
  <r>
    <x v="0"/>
    <x v="4"/>
    <s v="Carretera"/>
    <s v="Low"/>
    <n v="274"/>
    <n v="3"/>
    <n v="350"/>
    <n v="95900"/>
    <n v="3836"/>
    <n v="92064"/>
    <n v="71240"/>
    <n v="20824"/>
    <d v="2024-12-01T00:00:00"/>
    <n v="12"/>
    <s v="December"/>
    <s v="2024"/>
    <x v="2"/>
    <n v="0.22619047619047619"/>
    <n v="0.04"/>
  </r>
  <r>
    <x v="1"/>
    <x v="0"/>
    <s v="Montana"/>
    <s v="Low"/>
    <n v="1967"/>
    <n v="5"/>
    <n v="15"/>
    <n v="29505"/>
    <n v="1180.2"/>
    <n v="28324.799999999999"/>
    <n v="19670"/>
    <n v="8654.7999999999993"/>
    <d v="2024-03-01T00:00:00"/>
    <n v="3"/>
    <s v="March"/>
    <s v="2024"/>
    <x v="3"/>
    <n v="0.30555555555555552"/>
    <n v="0.04"/>
  </r>
  <r>
    <x v="4"/>
    <x v="1"/>
    <s v="Montana"/>
    <s v="Low"/>
    <n v="1859"/>
    <n v="5"/>
    <n v="300"/>
    <n v="557700"/>
    <n v="22308"/>
    <n v="535392"/>
    <n v="464750"/>
    <n v="70642"/>
    <d v="2024-08-01T00:00:00"/>
    <n v="8"/>
    <s v="August"/>
    <s v="2024"/>
    <x v="5"/>
    <n v="0.13194444444444445"/>
    <n v="0.04"/>
  </r>
  <r>
    <x v="0"/>
    <x v="0"/>
    <s v="Montana"/>
    <s v="Low"/>
    <n v="2851"/>
    <n v="5"/>
    <n v="7"/>
    <n v="19957"/>
    <n v="798.28"/>
    <n v="19158.72"/>
    <n v="14255"/>
    <n v="4903.7200000000012"/>
    <d v="2023-10-01T00:00:00"/>
    <n v="10"/>
    <s v="October"/>
    <s v="2023"/>
    <x v="7"/>
    <n v="0.25595238095238099"/>
    <n v="0.04"/>
  </r>
  <r>
    <x v="4"/>
    <x v="1"/>
    <s v="Montana"/>
    <s v="Low"/>
    <n v="2021"/>
    <n v="5"/>
    <n v="300"/>
    <n v="606300"/>
    <n v="24252"/>
    <n v="582048"/>
    <n v="505250"/>
    <n v="76798"/>
    <d v="2024-10-01T00:00:00"/>
    <n v="10"/>
    <s v="October"/>
    <s v="2024"/>
    <x v="10"/>
    <n v="0.13194444444444445"/>
    <n v="0.04"/>
  </r>
  <r>
    <x v="3"/>
    <x v="3"/>
    <s v="Montana"/>
    <s v="Low"/>
    <n v="1138"/>
    <n v="5"/>
    <n v="125"/>
    <n v="142250"/>
    <n v="5690"/>
    <n v="136560"/>
    <n v="136560"/>
    <n v="0"/>
    <d v="2024-12-01T00:00:00"/>
    <n v="12"/>
    <s v="December"/>
    <s v="2024"/>
    <x v="2"/>
    <n v="0"/>
    <n v="0.04"/>
  </r>
  <r>
    <x v="0"/>
    <x v="0"/>
    <s v="Paseo"/>
    <s v="Low"/>
    <n v="4251"/>
    <n v="10"/>
    <n v="7"/>
    <n v="29757"/>
    <n v="1190.28"/>
    <n v="28566.720000000001"/>
    <n v="21255"/>
    <n v="7311.7199999999993"/>
    <d v="2024-01-01T00:00:00"/>
    <n v="1"/>
    <s v="January"/>
    <s v="2024"/>
    <x v="0"/>
    <n v="0.25595238095238093"/>
    <n v="0.04"/>
  </r>
  <r>
    <x v="3"/>
    <x v="1"/>
    <s v="Paseo"/>
    <s v="Low"/>
    <n v="795"/>
    <n v="10"/>
    <n v="125"/>
    <n v="99375"/>
    <n v="3975"/>
    <n v="95400"/>
    <n v="95400"/>
    <n v="0"/>
    <d v="2024-03-01T00:00:00"/>
    <n v="3"/>
    <s v="March"/>
    <s v="2024"/>
    <x v="3"/>
    <n v="0"/>
    <n v="0.04"/>
  </r>
  <r>
    <x v="4"/>
    <x v="1"/>
    <s v="Paseo"/>
    <s v="Low"/>
    <n v="1414.5"/>
    <n v="10"/>
    <n v="300"/>
    <n v="424350"/>
    <n v="16974"/>
    <n v="407376"/>
    <n v="353625"/>
    <n v="53751"/>
    <d v="2024-04-01T00:00:00"/>
    <n v="4"/>
    <s v="April"/>
    <s v="2024"/>
    <x v="13"/>
    <n v="0.13194444444444445"/>
    <n v="0.04"/>
  </r>
  <r>
    <x v="4"/>
    <x v="4"/>
    <s v="Paseo"/>
    <s v="Low"/>
    <n v="2918"/>
    <n v="10"/>
    <n v="300"/>
    <n v="875400"/>
    <n v="35016"/>
    <n v="840384"/>
    <n v="729500"/>
    <n v="110884"/>
    <d v="2024-05-01T00:00:00"/>
    <n v="5"/>
    <s v="May"/>
    <s v="2024"/>
    <x v="14"/>
    <n v="0.13194444444444445"/>
    <n v="0.04"/>
  </r>
  <r>
    <x v="0"/>
    <x v="4"/>
    <s v="Paseo"/>
    <s v="Low"/>
    <n v="3450"/>
    <n v="10"/>
    <n v="350"/>
    <n v="1207500"/>
    <n v="48300"/>
    <n v="1159200"/>
    <n v="897000"/>
    <n v="262200"/>
    <d v="2024-07-01T00:00:00"/>
    <n v="7"/>
    <s v="July"/>
    <s v="2024"/>
    <x v="4"/>
    <n v="0.22619047619047619"/>
    <n v="0.04"/>
  </r>
  <r>
    <x v="3"/>
    <x v="2"/>
    <s v="Paseo"/>
    <s v="Low"/>
    <n v="2988"/>
    <n v="10"/>
    <n v="125"/>
    <n v="373500"/>
    <n v="14940"/>
    <n v="358560"/>
    <n v="358560"/>
    <n v="0"/>
    <d v="2024-07-01T00:00:00"/>
    <n v="7"/>
    <s v="July"/>
    <s v="2024"/>
    <x v="4"/>
    <n v="0"/>
    <n v="0.04"/>
  </r>
  <r>
    <x v="1"/>
    <x v="0"/>
    <s v="Paseo"/>
    <s v="Low"/>
    <n v="218"/>
    <n v="10"/>
    <n v="15"/>
    <n v="3270"/>
    <n v="130.80000000000001"/>
    <n v="3139.2"/>
    <n v="2180"/>
    <n v="959.19999999999982"/>
    <d v="2024-09-01T00:00:00"/>
    <n v="9"/>
    <s v="September"/>
    <s v="2024"/>
    <x v="6"/>
    <n v="0.30555555555555552"/>
    <n v="0.04"/>
  </r>
  <r>
    <x v="0"/>
    <x v="0"/>
    <s v="Paseo"/>
    <s v="Low"/>
    <n v="2074"/>
    <n v="10"/>
    <n v="20"/>
    <n v="41480"/>
    <n v="1659.2"/>
    <n v="39820.800000000003"/>
    <n v="20740"/>
    <n v="19080.800000000003"/>
    <d v="2024-09-01T00:00:00"/>
    <n v="9"/>
    <s v="September"/>
    <s v="2024"/>
    <x v="6"/>
    <n v="0.47916666666666669"/>
    <n v="0.04"/>
  </r>
  <r>
    <x v="0"/>
    <x v="4"/>
    <s v="Paseo"/>
    <s v="Low"/>
    <n v="1056"/>
    <n v="10"/>
    <n v="20"/>
    <n v="21120"/>
    <n v="844.8"/>
    <n v="20275.2"/>
    <n v="10560"/>
    <n v="9715.2000000000007"/>
    <d v="2024-09-01T00:00:00"/>
    <n v="9"/>
    <s v="September"/>
    <s v="2024"/>
    <x v="6"/>
    <n v="0.47916666666666669"/>
    <n v="0.04"/>
  </r>
  <r>
    <x v="1"/>
    <x v="4"/>
    <s v="Paseo"/>
    <s v="Low"/>
    <n v="671"/>
    <n v="10"/>
    <n v="15"/>
    <n v="10065"/>
    <n v="402.6"/>
    <n v="9662.4"/>
    <n v="6710"/>
    <n v="2952.3999999999996"/>
    <d v="2023-10-01T00:00:00"/>
    <n v="10"/>
    <s v="October"/>
    <s v="2023"/>
    <x v="7"/>
    <n v="0.30555555555555552"/>
    <n v="0.04"/>
  </r>
  <r>
    <x v="1"/>
    <x v="3"/>
    <s v="Paseo"/>
    <s v="Low"/>
    <n v="1514"/>
    <n v="10"/>
    <n v="15"/>
    <n v="22710"/>
    <n v="908.4"/>
    <n v="21801.599999999999"/>
    <n v="15140"/>
    <n v="6661.5999999999985"/>
    <d v="2023-10-01T00:00:00"/>
    <n v="10"/>
    <s v="October"/>
    <s v="2023"/>
    <x v="7"/>
    <n v="0.30555555555555552"/>
    <n v="0.04"/>
  </r>
  <r>
    <x v="0"/>
    <x v="4"/>
    <s v="Paseo"/>
    <s v="Low"/>
    <n v="274"/>
    <n v="10"/>
    <n v="350"/>
    <n v="95900"/>
    <n v="3836"/>
    <n v="92064"/>
    <n v="71240"/>
    <n v="20824"/>
    <d v="2024-12-01T00:00:00"/>
    <n v="12"/>
    <s v="December"/>
    <s v="2024"/>
    <x v="2"/>
    <n v="0.22619047619047619"/>
    <n v="0.04"/>
  </r>
  <r>
    <x v="3"/>
    <x v="3"/>
    <s v="Paseo"/>
    <s v="Low"/>
    <n v="1138"/>
    <n v="10"/>
    <n v="125"/>
    <n v="142250"/>
    <n v="5690"/>
    <n v="136560"/>
    <n v="136560"/>
    <n v="0"/>
    <d v="2024-12-01T00:00:00"/>
    <n v="12"/>
    <s v="December"/>
    <s v="2024"/>
    <x v="2"/>
    <n v="0"/>
    <n v="0.04"/>
  </r>
  <r>
    <x v="2"/>
    <x v="4"/>
    <s v="Velo"/>
    <s v="Low"/>
    <n v="1465"/>
    <n v="120"/>
    <n v="12"/>
    <n v="17580"/>
    <n v="703.2"/>
    <n v="16876.8"/>
    <n v="4395"/>
    <n v="12481.8"/>
    <d v="2024-03-01T00:00:00"/>
    <n v="3"/>
    <s v="March"/>
    <s v="2024"/>
    <x v="3"/>
    <n v="0.73958333333333337"/>
    <n v="0.04"/>
  </r>
  <r>
    <x v="0"/>
    <x v="0"/>
    <s v="Velo"/>
    <s v="Low"/>
    <n v="2646"/>
    <n v="120"/>
    <n v="20"/>
    <n v="52920"/>
    <n v="2116.8000000000002"/>
    <n v="50803.199999999997"/>
    <n v="26460"/>
    <n v="24343.199999999997"/>
    <d v="2023-09-01T00:00:00"/>
    <n v="9"/>
    <s v="September"/>
    <s v="2023"/>
    <x v="9"/>
    <n v="0.47916666666666663"/>
    <n v="0.04"/>
  </r>
  <r>
    <x v="0"/>
    <x v="2"/>
    <s v="Velo"/>
    <s v="Low"/>
    <n v="2177"/>
    <n v="120"/>
    <n v="350"/>
    <n v="761950"/>
    <n v="30478"/>
    <n v="731472"/>
    <n v="566020"/>
    <n v="165452"/>
    <d v="2024-10-01T00:00:00"/>
    <n v="10"/>
    <s v="October"/>
    <s v="2024"/>
    <x v="10"/>
    <n v="0.22619047619047619"/>
    <n v="0.04"/>
  </r>
  <r>
    <x v="2"/>
    <x v="2"/>
    <s v="VTT"/>
    <s v="Low"/>
    <n v="866"/>
    <n v="250"/>
    <n v="12"/>
    <n v="10392"/>
    <n v="415.68"/>
    <n v="9976.32"/>
    <n v="2598"/>
    <n v="7378.32"/>
    <d v="2024-05-01T00:00:00"/>
    <n v="5"/>
    <s v="May"/>
    <s v="2024"/>
    <x v="14"/>
    <n v="0.73958333333333337"/>
    <n v="0.04"/>
  </r>
  <r>
    <x v="0"/>
    <x v="4"/>
    <s v="VTT"/>
    <s v="Low"/>
    <n v="349"/>
    <n v="250"/>
    <n v="350"/>
    <n v="122150"/>
    <n v="4886"/>
    <n v="117264"/>
    <n v="90740"/>
    <n v="26524"/>
    <d v="2023-09-01T00:00:00"/>
    <n v="9"/>
    <s v="September"/>
    <s v="2023"/>
    <x v="9"/>
    <n v="0.22619047619047619"/>
    <n v="0.04"/>
  </r>
  <r>
    <x v="0"/>
    <x v="2"/>
    <s v="VTT"/>
    <s v="Low"/>
    <n v="2177"/>
    <n v="250"/>
    <n v="350"/>
    <n v="761950"/>
    <n v="30478"/>
    <n v="731472"/>
    <n v="566020"/>
    <n v="165452"/>
    <d v="2024-10-01T00:00:00"/>
    <n v="10"/>
    <s v="October"/>
    <s v="2024"/>
    <x v="10"/>
    <n v="0.22619047619047619"/>
    <n v="0.04"/>
  </r>
  <r>
    <x v="1"/>
    <x v="3"/>
    <s v="VTT"/>
    <s v="Low"/>
    <n v="1514"/>
    <n v="250"/>
    <n v="15"/>
    <n v="22710"/>
    <n v="908.4"/>
    <n v="21801.599999999999"/>
    <n v="15140"/>
    <n v="6661.5999999999985"/>
    <d v="2023-10-01T00:00:00"/>
    <n v="10"/>
    <s v="October"/>
    <s v="2023"/>
    <x v="7"/>
    <n v="0.30555555555555552"/>
    <n v="0.04"/>
  </r>
  <r>
    <x v="0"/>
    <x v="3"/>
    <s v="Amarilla"/>
    <s v="Low"/>
    <n v="1865"/>
    <n v="260"/>
    <n v="350"/>
    <n v="652750"/>
    <n v="26110"/>
    <n v="626640"/>
    <n v="484900"/>
    <n v="141740"/>
    <d v="2024-02-01T00:00:00"/>
    <n v="2"/>
    <s v="February"/>
    <s v="2024"/>
    <x v="8"/>
    <n v="0.22619047619047619"/>
    <n v="0.04"/>
  </r>
  <r>
    <x v="3"/>
    <x v="3"/>
    <s v="Amarilla"/>
    <s v="Low"/>
    <n v="1074"/>
    <n v="260"/>
    <n v="125"/>
    <n v="134250"/>
    <n v="5370"/>
    <n v="128880"/>
    <n v="128880"/>
    <n v="0"/>
    <d v="2024-04-01T00:00:00"/>
    <n v="4"/>
    <s v="April"/>
    <s v="2024"/>
    <x v="13"/>
    <n v="0"/>
    <n v="0.04"/>
  </r>
  <r>
    <x v="0"/>
    <x v="1"/>
    <s v="Amarilla"/>
    <s v="Low"/>
    <n v="1907"/>
    <n v="260"/>
    <n v="350"/>
    <n v="667450"/>
    <n v="26698"/>
    <n v="640752"/>
    <n v="495820"/>
    <n v="144932"/>
    <d v="2024-09-01T00:00:00"/>
    <n v="9"/>
    <s v="September"/>
    <s v="2024"/>
    <x v="6"/>
    <n v="0.22619047619047619"/>
    <n v="0.04"/>
  </r>
  <r>
    <x v="1"/>
    <x v="4"/>
    <s v="Amarilla"/>
    <s v="Low"/>
    <n v="671"/>
    <n v="260"/>
    <n v="15"/>
    <n v="10065"/>
    <n v="402.6"/>
    <n v="9662.4"/>
    <n v="6710"/>
    <n v="2952.3999999999996"/>
    <d v="2023-10-01T00:00:00"/>
    <n v="10"/>
    <s v="October"/>
    <s v="2023"/>
    <x v="7"/>
    <n v="0.30555555555555552"/>
    <n v="0.04"/>
  </r>
  <r>
    <x v="0"/>
    <x v="0"/>
    <s v="Amarilla"/>
    <s v="Low"/>
    <n v="1778"/>
    <n v="260"/>
    <n v="350"/>
    <n v="622300"/>
    <n v="24892"/>
    <n v="597408"/>
    <n v="462280"/>
    <n v="135128"/>
    <d v="2023-12-01T00:00:00"/>
    <n v="12"/>
    <s v="December"/>
    <s v="2023"/>
    <x v="12"/>
    <n v="0.22619047619047619"/>
    <n v="0.04"/>
  </r>
  <r>
    <x v="0"/>
    <x v="1"/>
    <s v="Montana"/>
    <s v="Medium"/>
    <n v="1159"/>
    <n v="5"/>
    <n v="7"/>
    <n v="8113"/>
    <n v="405.65"/>
    <n v="7707.35"/>
    <n v="5795"/>
    <n v="1912.3500000000004"/>
    <d v="2023-10-01T00:00:00"/>
    <n v="10"/>
    <s v="October"/>
    <s v="2023"/>
    <x v="7"/>
    <n v="0.24812030075187974"/>
    <n v="4.9999999999999996E-2"/>
  </r>
  <r>
    <x v="0"/>
    <x v="1"/>
    <s v="Paseo"/>
    <s v="Medium"/>
    <n v="1372"/>
    <n v="10"/>
    <n v="7"/>
    <n v="9604"/>
    <n v="480.2"/>
    <n v="9123.7999999999993"/>
    <n v="6860"/>
    <n v="2263.7999999999993"/>
    <d v="2024-01-01T00:00:00"/>
    <n v="1"/>
    <s v="January"/>
    <s v="2024"/>
    <x v="0"/>
    <n v="0.24812030075187963"/>
    <n v="4.9999999999999996E-2"/>
  </r>
  <r>
    <x v="0"/>
    <x v="0"/>
    <s v="Paseo"/>
    <s v="Medium"/>
    <n v="2349"/>
    <n v="10"/>
    <n v="7"/>
    <n v="16443"/>
    <n v="822.15"/>
    <n v="15620.85"/>
    <n v="11745"/>
    <n v="3875.8500000000004"/>
    <d v="2023-09-01T00:00:00"/>
    <n v="9"/>
    <s v="September"/>
    <s v="2023"/>
    <x v="9"/>
    <n v="0.24812030075187971"/>
    <n v="4.9999999999999996E-2"/>
  </r>
  <r>
    <x v="0"/>
    <x v="3"/>
    <s v="Paseo"/>
    <s v="Medium"/>
    <n v="2689"/>
    <n v="10"/>
    <n v="7"/>
    <n v="18823"/>
    <n v="941.15"/>
    <n v="17881.849999999999"/>
    <n v="13445"/>
    <n v="4436.8499999999985"/>
    <d v="2024-10-01T00:00:00"/>
    <n v="10"/>
    <s v="October"/>
    <s v="2024"/>
    <x v="10"/>
    <n v="0.24812030075187963"/>
    <n v="4.9999999999999996E-2"/>
  </r>
  <r>
    <x v="2"/>
    <x v="0"/>
    <s v="Paseo"/>
    <s v="Medium"/>
    <n v="2431"/>
    <n v="10"/>
    <n v="12"/>
    <n v="29172"/>
    <n v="1458.6"/>
    <n v="27713.4"/>
    <n v="7293"/>
    <n v="20420.400000000001"/>
    <d v="2024-12-01T00:00:00"/>
    <n v="12"/>
    <s v="December"/>
    <s v="2024"/>
    <x v="2"/>
    <n v="0.73684210526315785"/>
    <n v="4.9999999999999996E-2"/>
  </r>
  <r>
    <x v="2"/>
    <x v="0"/>
    <s v="Velo"/>
    <s v="Medium"/>
    <n v="2431"/>
    <n v="120"/>
    <n v="12"/>
    <n v="29172"/>
    <n v="1458.6"/>
    <n v="27713.4"/>
    <n v="7293"/>
    <n v="20420.400000000001"/>
    <d v="2024-12-01T00:00:00"/>
    <n v="12"/>
    <s v="December"/>
    <s v="2024"/>
    <x v="2"/>
    <n v="0.73684210526315785"/>
    <n v="4.9999999999999996E-2"/>
  </r>
  <r>
    <x v="0"/>
    <x v="3"/>
    <s v="VTT"/>
    <s v="Medium"/>
    <n v="2689"/>
    <n v="250"/>
    <n v="7"/>
    <n v="18823"/>
    <n v="941.15"/>
    <n v="17881.849999999999"/>
    <n v="13445"/>
    <n v="4436.8499999999985"/>
    <d v="2024-10-01T00:00:00"/>
    <n v="10"/>
    <s v="October"/>
    <s v="2024"/>
    <x v="10"/>
    <n v="0.24812030075187963"/>
    <n v="4.9999999999999996E-2"/>
  </r>
  <r>
    <x v="0"/>
    <x v="3"/>
    <s v="Amarilla"/>
    <s v="Medium"/>
    <n v="1683"/>
    <n v="260"/>
    <n v="7"/>
    <n v="11781"/>
    <n v="589.04999999999995"/>
    <n v="11191.95"/>
    <n v="8415"/>
    <n v="2776.9500000000007"/>
    <d v="2024-07-01T00:00:00"/>
    <n v="7"/>
    <s v="July"/>
    <s v="2024"/>
    <x v="4"/>
    <n v="0.24812030075187974"/>
    <n v="4.9999999999999996E-2"/>
  </r>
  <r>
    <x v="2"/>
    <x v="3"/>
    <s v="Amarilla"/>
    <s v="Medium"/>
    <n v="1123"/>
    <n v="260"/>
    <n v="12"/>
    <n v="13476"/>
    <n v="673.8"/>
    <n v="12802.2"/>
    <n v="3369"/>
    <n v="9433.2000000000007"/>
    <d v="2024-08-01T00:00:00"/>
    <n v="8"/>
    <s v="August"/>
    <s v="2024"/>
    <x v="5"/>
    <n v="0.73684210526315796"/>
    <n v="4.9999999999999996E-2"/>
  </r>
  <r>
    <x v="0"/>
    <x v="1"/>
    <s v="Amarilla"/>
    <s v="Medium"/>
    <n v="1159"/>
    <n v="260"/>
    <n v="7"/>
    <n v="8113"/>
    <n v="405.65"/>
    <n v="7707.35"/>
    <n v="5795"/>
    <n v="1912.3500000000004"/>
    <d v="2023-10-01T00:00:00"/>
    <n v="10"/>
    <s v="October"/>
    <s v="2023"/>
    <x v="7"/>
    <n v="0.24812030075187974"/>
    <n v="4.9999999999999996E-2"/>
  </r>
  <r>
    <x v="2"/>
    <x v="2"/>
    <s v="Carretera"/>
    <s v="Medium"/>
    <n v="1865"/>
    <n v="3"/>
    <n v="12"/>
    <n v="22380"/>
    <n v="1119"/>
    <n v="21261"/>
    <n v="5595"/>
    <n v="15666"/>
    <d v="2024-02-01T00:00:00"/>
    <n v="2"/>
    <s v="February"/>
    <s v="2024"/>
    <x v="8"/>
    <n v="0.73684210526315785"/>
    <n v="0.05"/>
  </r>
  <r>
    <x v="2"/>
    <x v="1"/>
    <s v="Carretera"/>
    <s v="Medium"/>
    <n v="1116"/>
    <n v="3"/>
    <n v="12"/>
    <n v="13392"/>
    <n v="669.6"/>
    <n v="12722.4"/>
    <n v="3348"/>
    <n v="9374.4"/>
    <d v="2024-02-01T00:00:00"/>
    <n v="2"/>
    <s v="February"/>
    <s v="2024"/>
    <x v="8"/>
    <n v="0.73684210526315785"/>
    <n v="0.05"/>
  </r>
  <r>
    <x v="0"/>
    <x v="2"/>
    <s v="Carretera"/>
    <s v="Medium"/>
    <n v="1563"/>
    <n v="3"/>
    <n v="20"/>
    <n v="31260"/>
    <n v="1563"/>
    <n v="29697"/>
    <n v="15630"/>
    <n v="14067"/>
    <d v="2024-05-01T00:00:00"/>
    <n v="5"/>
    <s v="May"/>
    <s v="2024"/>
    <x v="14"/>
    <n v="0.47368421052631576"/>
    <n v="0.05"/>
  </r>
  <r>
    <x v="4"/>
    <x v="4"/>
    <s v="Carretera"/>
    <s v="Medium"/>
    <n v="991"/>
    <n v="3"/>
    <n v="300"/>
    <n v="297300"/>
    <n v="14865"/>
    <n v="282435"/>
    <n v="247750"/>
    <n v="34685"/>
    <d v="2024-06-01T00:00:00"/>
    <n v="6"/>
    <s v="June"/>
    <s v="2024"/>
    <x v="1"/>
    <n v="0.12280701754385964"/>
    <n v="0.05"/>
  </r>
  <r>
    <x v="0"/>
    <x v="1"/>
    <s v="Carretera"/>
    <s v="Medium"/>
    <n v="1016"/>
    <n v="3"/>
    <n v="7"/>
    <n v="7112"/>
    <n v="355.6"/>
    <n v="6756.4"/>
    <n v="5080"/>
    <n v="1676.3999999999996"/>
    <d v="2023-11-01T00:00:00"/>
    <n v="11"/>
    <s v="November"/>
    <s v="2023"/>
    <x v="11"/>
    <n v="0.24812030075187966"/>
    <n v="0.05"/>
  </r>
  <r>
    <x v="1"/>
    <x v="3"/>
    <s v="Carretera"/>
    <s v="Medium"/>
    <n v="2791"/>
    <n v="3"/>
    <n v="15"/>
    <n v="41865"/>
    <n v="2093.25"/>
    <n v="39771.75"/>
    <n v="27910"/>
    <n v="11861.75"/>
    <d v="2024-11-01T00:00:00"/>
    <n v="11"/>
    <s v="November"/>
    <s v="2024"/>
    <x v="15"/>
    <n v="0.2982456140350877"/>
    <n v="0.05"/>
  </r>
  <r>
    <x v="0"/>
    <x v="4"/>
    <s v="Carretera"/>
    <s v="Medium"/>
    <n v="570"/>
    <n v="3"/>
    <n v="7"/>
    <n v="3990"/>
    <n v="199.5"/>
    <n v="3790.5"/>
    <n v="2850"/>
    <n v="940.5"/>
    <d v="2024-12-01T00:00:00"/>
    <n v="12"/>
    <s v="December"/>
    <s v="2024"/>
    <x v="2"/>
    <n v="0.24812030075187969"/>
    <n v="0.05"/>
  </r>
  <r>
    <x v="0"/>
    <x v="2"/>
    <s v="Carretera"/>
    <s v="Medium"/>
    <n v="2487"/>
    <n v="3"/>
    <n v="7"/>
    <n v="17409"/>
    <n v="870.45"/>
    <n v="16538.55"/>
    <n v="12435"/>
    <n v="4103.5499999999993"/>
    <d v="2024-12-01T00:00:00"/>
    <n v="12"/>
    <s v="December"/>
    <s v="2024"/>
    <x v="2"/>
    <n v="0.24812030075187966"/>
    <n v="0.05"/>
  </r>
  <r>
    <x v="0"/>
    <x v="2"/>
    <s v="Montana"/>
    <s v="Medium"/>
    <n v="1384.5"/>
    <n v="5"/>
    <n v="350"/>
    <n v="484575"/>
    <n v="24228.75"/>
    <n v="460346.25"/>
    <n v="359970"/>
    <n v="100376.25"/>
    <d v="2024-01-01T00:00:00"/>
    <n v="1"/>
    <s v="January"/>
    <s v="2024"/>
    <x v="0"/>
    <n v="0.21804511278195488"/>
    <n v="0.05"/>
  </r>
  <r>
    <x v="3"/>
    <x v="4"/>
    <s v="Montana"/>
    <s v="Medium"/>
    <n v="3627"/>
    <n v="5"/>
    <n v="125"/>
    <n v="453375"/>
    <n v="22668.75"/>
    <n v="430706.25"/>
    <n v="435240"/>
    <n v="-4533.75"/>
    <d v="2024-07-01T00:00:00"/>
    <n v="7"/>
    <s v="July"/>
    <s v="2024"/>
    <x v="4"/>
    <n v="-1.0526315789473684E-2"/>
    <n v="0.05"/>
  </r>
  <r>
    <x v="0"/>
    <x v="3"/>
    <s v="Montana"/>
    <s v="Medium"/>
    <n v="720"/>
    <n v="5"/>
    <n v="350"/>
    <n v="252000"/>
    <n v="12600"/>
    <n v="239400"/>
    <n v="187200"/>
    <n v="52200"/>
    <d v="2023-09-01T00:00:00"/>
    <n v="9"/>
    <s v="September"/>
    <s v="2023"/>
    <x v="9"/>
    <n v="0.21804511278195488"/>
    <n v="0.05"/>
  </r>
  <r>
    <x v="2"/>
    <x v="1"/>
    <s v="Montana"/>
    <s v="Medium"/>
    <n v="2342"/>
    <n v="5"/>
    <n v="12"/>
    <n v="28104"/>
    <n v="1405.2"/>
    <n v="26698.799999999999"/>
    <n v="7026"/>
    <n v="19672.8"/>
    <d v="2024-11-01T00:00:00"/>
    <n v="11"/>
    <s v="November"/>
    <s v="2024"/>
    <x v="15"/>
    <n v="0.73684210526315785"/>
    <n v="0.05"/>
  </r>
  <r>
    <x v="4"/>
    <x v="3"/>
    <s v="Montana"/>
    <s v="Medium"/>
    <n v="1100"/>
    <n v="5"/>
    <n v="300"/>
    <n v="330000"/>
    <n v="16500"/>
    <n v="313500"/>
    <n v="275000"/>
    <n v="38500"/>
    <d v="2023-12-01T00:00:00"/>
    <n v="12"/>
    <s v="December"/>
    <s v="2023"/>
    <x v="12"/>
    <n v="0.12280701754385964"/>
    <n v="0.05"/>
  </r>
  <r>
    <x v="0"/>
    <x v="2"/>
    <s v="Paseo"/>
    <s v="Medium"/>
    <n v="1303"/>
    <n v="10"/>
    <n v="20"/>
    <n v="26060"/>
    <n v="1303"/>
    <n v="24757"/>
    <n v="13030"/>
    <n v="11727"/>
    <d v="2024-02-01T00:00:00"/>
    <n v="2"/>
    <s v="February"/>
    <s v="2024"/>
    <x v="8"/>
    <n v="0.47368421052631576"/>
    <n v="0.05"/>
  </r>
  <r>
    <x v="3"/>
    <x v="4"/>
    <s v="Paseo"/>
    <s v="Medium"/>
    <n v="2992"/>
    <n v="10"/>
    <n v="125"/>
    <n v="374000"/>
    <n v="18700"/>
    <n v="355300"/>
    <n v="359040"/>
    <n v="-3740"/>
    <d v="2024-03-01T00:00:00"/>
    <n v="3"/>
    <s v="March"/>
    <s v="2024"/>
    <x v="3"/>
    <n v="-1.0526315789473684E-2"/>
    <n v="0.05"/>
  </r>
  <r>
    <x v="3"/>
    <x v="2"/>
    <s v="Paseo"/>
    <s v="Medium"/>
    <n v="2385"/>
    <n v="10"/>
    <n v="125"/>
    <n v="298125"/>
    <n v="14906.25"/>
    <n v="283218.75"/>
    <n v="286200"/>
    <n v="-2981.25"/>
    <d v="2024-03-01T00:00:00"/>
    <n v="3"/>
    <s v="March"/>
    <s v="2024"/>
    <x v="3"/>
    <n v="-1.0526315789473684E-2"/>
    <n v="0.05"/>
  </r>
  <r>
    <x v="4"/>
    <x v="3"/>
    <s v="Paseo"/>
    <s v="Medium"/>
    <n v="1607"/>
    <n v="10"/>
    <n v="300"/>
    <n v="482100"/>
    <n v="24105"/>
    <n v="457995"/>
    <n v="401750"/>
    <n v="56245"/>
    <d v="2024-04-01T00:00:00"/>
    <n v="4"/>
    <s v="April"/>
    <s v="2024"/>
    <x v="13"/>
    <n v="0.12280701754385964"/>
    <n v="0.05"/>
  </r>
  <r>
    <x v="0"/>
    <x v="4"/>
    <s v="Paseo"/>
    <s v="Medium"/>
    <n v="2327"/>
    <n v="10"/>
    <n v="7"/>
    <n v="16289"/>
    <n v="814.45"/>
    <n v="15474.55"/>
    <n v="11635"/>
    <n v="3839.5499999999993"/>
    <d v="2024-05-01T00:00:00"/>
    <n v="5"/>
    <s v="May"/>
    <s v="2024"/>
    <x v="14"/>
    <n v="0.24812030075187966"/>
    <n v="0.05"/>
  </r>
  <r>
    <x v="4"/>
    <x v="4"/>
    <s v="Paseo"/>
    <s v="Medium"/>
    <n v="991"/>
    <n v="10"/>
    <n v="300"/>
    <n v="297300"/>
    <n v="14865"/>
    <n v="282435"/>
    <n v="247750"/>
    <n v="34685"/>
    <d v="2024-06-01T00:00:00"/>
    <n v="6"/>
    <s v="June"/>
    <s v="2024"/>
    <x v="1"/>
    <n v="0.12280701754385964"/>
    <n v="0.05"/>
  </r>
  <r>
    <x v="0"/>
    <x v="4"/>
    <s v="Paseo"/>
    <s v="Medium"/>
    <n v="602"/>
    <n v="10"/>
    <n v="350"/>
    <n v="210700"/>
    <n v="10535"/>
    <n v="200165"/>
    <n v="156520"/>
    <n v="43645"/>
    <d v="2024-06-01T00:00:00"/>
    <n v="6"/>
    <s v="June"/>
    <s v="2024"/>
    <x v="1"/>
    <n v="0.21804511278195488"/>
    <n v="0.05"/>
  </r>
  <r>
    <x v="1"/>
    <x v="2"/>
    <s v="Paseo"/>
    <s v="Medium"/>
    <n v="2620"/>
    <n v="10"/>
    <n v="15"/>
    <n v="39300"/>
    <n v="1965"/>
    <n v="37335"/>
    <n v="26200"/>
    <n v="11135"/>
    <d v="2024-09-01T00:00:00"/>
    <n v="9"/>
    <s v="September"/>
    <s v="2024"/>
    <x v="6"/>
    <n v="0.2982456140350877"/>
    <n v="0.05"/>
  </r>
  <r>
    <x v="0"/>
    <x v="0"/>
    <s v="Paseo"/>
    <s v="Medium"/>
    <n v="1228"/>
    <n v="10"/>
    <n v="350"/>
    <n v="429800"/>
    <n v="21490"/>
    <n v="408310"/>
    <n v="319280"/>
    <n v="89030"/>
    <d v="2023-10-01T00:00:00"/>
    <n v="10"/>
    <s v="October"/>
    <s v="2023"/>
    <x v="7"/>
    <n v="0.21804511278195488"/>
    <n v="0.05"/>
  </r>
  <r>
    <x v="0"/>
    <x v="0"/>
    <s v="Paseo"/>
    <s v="Medium"/>
    <n v="1389"/>
    <n v="10"/>
    <n v="20"/>
    <n v="27780"/>
    <n v="1389"/>
    <n v="26391"/>
    <n v="13890"/>
    <n v="12501"/>
    <d v="2023-10-01T00:00:00"/>
    <n v="10"/>
    <s v="October"/>
    <s v="2023"/>
    <x v="7"/>
    <n v="0.47368421052631576"/>
    <n v="0.05"/>
  </r>
  <r>
    <x v="3"/>
    <x v="4"/>
    <s v="Paseo"/>
    <s v="Medium"/>
    <n v="861"/>
    <n v="10"/>
    <n v="125"/>
    <n v="107625"/>
    <n v="5381.25"/>
    <n v="102243.75"/>
    <n v="103320"/>
    <n v="-1076.25"/>
    <d v="2024-10-01T00:00:00"/>
    <n v="10"/>
    <s v="October"/>
    <s v="2024"/>
    <x v="10"/>
    <n v="-1.0526315789473684E-2"/>
    <n v="0.05"/>
  </r>
  <r>
    <x v="3"/>
    <x v="2"/>
    <s v="Paseo"/>
    <s v="Medium"/>
    <n v="704"/>
    <n v="10"/>
    <n v="125"/>
    <n v="88000"/>
    <n v="4400"/>
    <n v="83600"/>
    <n v="84480"/>
    <n v="-880"/>
    <d v="2023-10-01T00:00:00"/>
    <n v="10"/>
    <s v="October"/>
    <s v="2023"/>
    <x v="7"/>
    <n v="-1.0526315789473684E-2"/>
    <n v="0.05"/>
  </r>
  <r>
    <x v="0"/>
    <x v="0"/>
    <s v="Paseo"/>
    <s v="Medium"/>
    <n v="1802"/>
    <n v="10"/>
    <n v="20"/>
    <n v="36040"/>
    <n v="1802"/>
    <n v="34238"/>
    <n v="18020"/>
    <n v="16218"/>
    <d v="2023-12-01T00:00:00"/>
    <n v="12"/>
    <s v="December"/>
    <s v="2023"/>
    <x v="12"/>
    <n v="0.47368421052631576"/>
    <n v="0.05"/>
  </r>
  <r>
    <x v="0"/>
    <x v="4"/>
    <s v="Paseo"/>
    <s v="Medium"/>
    <n v="2663"/>
    <n v="10"/>
    <n v="20"/>
    <n v="53260"/>
    <n v="2663"/>
    <n v="50597"/>
    <n v="26630"/>
    <n v="23967"/>
    <d v="2024-12-01T00:00:00"/>
    <n v="12"/>
    <s v="December"/>
    <s v="2024"/>
    <x v="2"/>
    <n v="0.47368421052631576"/>
    <n v="0.05"/>
  </r>
  <r>
    <x v="0"/>
    <x v="2"/>
    <s v="Paseo"/>
    <s v="Medium"/>
    <n v="2136"/>
    <n v="10"/>
    <n v="7"/>
    <n v="14952"/>
    <n v="747.6"/>
    <n v="14204.4"/>
    <n v="10680"/>
    <n v="3524.3999999999996"/>
    <d v="2023-12-01T00:00:00"/>
    <n v="12"/>
    <s v="December"/>
    <s v="2023"/>
    <x v="12"/>
    <n v="0.24812030075187969"/>
    <n v="0.05"/>
  </r>
  <r>
    <x v="1"/>
    <x v="1"/>
    <s v="Paseo"/>
    <s v="Medium"/>
    <n v="2116"/>
    <n v="10"/>
    <n v="15"/>
    <n v="31740"/>
    <n v="1587"/>
    <n v="30153"/>
    <n v="21160"/>
    <n v="8993"/>
    <d v="2023-12-01T00:00:00"/>
    <n v="12"/>
    <s v="December"/>
    <s v="2023"/>
    <x v="12"/>
    <n v="0.2982456140350877"/>
    <n v="0.05"/>
  </r>
  <r>
    <x v="1"/>
    <x v="4"/>
    <s v="Velo"/>
    <s v="Medium"/>
    <n v="555"/>
    <n v="120"/>
    <n v="15"/>
    <n v="8325"/>
    <n v="416.25"/>
    <n v="7908.75"/>
    <n v="5550"/>
    <n v="2358.75"/>
    <d v="2024-01-01T00:00:00"/>
    <n v="1"/>
    <s v="January"/>
    <s v="2024"/>
    <x v="0"/>
    <n v="0.2982456140350877"/>
    <n v="0.05"/>
  </r>
  <r>
    <x v="1"/>
    <x v="3"/>
    <s v="Velo"/>
    <s v="Medium"/>
    <n v="2861"/>
    <n v="120"/>
    <n v="15"/>
    <n v="42915"/>
    <n v="2145.75"/>
    <n v="40769.25"/>
    <n v="28610"/>
    <n v="12159.25"/>
    <d v="2024-01-01T00:00:00"/>
    <n v="1"/>
    <s v="January"/>
    <s v="2024"/>
    <x v="0"/>
    <n v="0.2982456140350877"/>
    <n v="0.05"/>
  </r>
  <r>
    <x v="3"/>
    <x v="1"/>
    <s v="Velo"/>
    <s v="Medium"/>
    <n v="807"/>
    <n v="120"/>
    <n v="125"/>
    <n v="100875"/>
    <n v="5043.75"/>
    <n v="95831.25"/>
    <n v="96840"/>
    <n v="-1008.75"/>
    <d v="2024-02-01T00:00:00"/>
    <n v="2"/>
    <s v="February"/>
    <s v="2024"/>
    <x v="8"/>
    <n v="-1.0526315789473684E-2"/>
    <n v="0.05"/>
  </r>
  <r>
    <x v="0"/>
    <x v="4"/>
    <s v="Velo"/>
    <s v="Medium"/>
    <n v="602"/>
    <n v="120"/>
    <n v="350"/>
    <n v="210700"/>
    <n v="10535"/>
    <n v="200165"/>
    <n v="156520"/>
    <n v="43645"/>
    <d v="2024-06-01T00:00:00"/>
    <n v="6"/>
    <s v="June"/>
    <s v="2024"/>
    <x v="1"/>
    <n v="0.21804511278195488"/>
    <n v="0.05"/>
  </r>
  <r>
    <x v="0"/>
    <x v="4"/>
    <s v="Velo"/>
    <s v="Medium"/>
    <n v="2832"/>
    <n v="120"/>
    <n v="20"/>
    <n v="56640"/>
    <n v="2832"/>
    <n v="53808"/>
    <n v="28320"/>
    <n v="25488"/>
    <d v="2024-08-01T00:00:00"/>
    <n v="8"/>
    <s v="August"/>
    <s v="2024"/>
    <x v="5"/>
    <n v="0.47368421052631576"/>
    <n v="0.05"/>
  </r>
  <r>
    <x v="0"/>
    <x v="2"/>
    <s v="Velo"/>
    <s v="Medium"/>
    <n v="1579"/>
    <n v="120"/>
    <n v="20"/>
    <n v="31580"/>
    <n v="1579"/>
    <n v="30001"/>
    <n v="15790"/>
    <n v="14211"/>
    <d v="2024-08-01T00:00:00"/>
    <n v="8"/>
    <s v="August"/>
    <s v="2024"/>
    <x v="5"/>
    <n v="0.47368421052631576"/>
    <n v="0.05"/>
  </r>
  <r>
    <x v="3"/>
    <x v="4"/>
    <s v="Velo"/>
    <s v="Medium"/>
    <n v="861"/>
    <n v="120"/>
    <n v="125"/>
    <n v="107625"/>
    <n v="5381.25"/>
    <n v="102243.75"/>
    <n v="103320"/>
    <n v="-1076.25"/>
    <d v="2024-10-01T00:00:00"/>
    <n v="10"/>
    <s v="October"/>
    <s v="2024"/>
    <x v="10"/>
    <n v="-1.0526315789473684E-2"/>
    <n v="0.05"/>
  </r>
  <r>
    <x v="3"/>
    <x v="2"/>
    <s v="Velo"/>
    <s v="Medium"/>
    <n v="704"/>
    <n v="120"/>
    <n v="125"/>
    <n v="88000"/>
    <n v="4400"/>
    <n v="83600"/>
    <n v="84480"/>
    <n v="-880"/>
    <d v="2023-10-01T00:00:00"/>
    <n v="10"/>
    <s v="October"/>
    <s v="2023"/>
    <x v="7"/>
    <n v="-1.0526315789473684E-2"/>
    <n v="0.05"/>
  </r>
  <r>
    <x v="0"/>
    <x v="2"/>
    <s v="Velo"/>
    <s v="Medium"/>
    <n v="1033"/>
    <n v="120"/>
    <n v="20"/>
    <n v="20660"/>
    <n v="1033"/>
    <n v="19627"/>
    <n v="10330"/>
    <n v="9297"/>
    <d v="2023-12-01T00:00:00"/>
    <n v="12"/>
    <s v="December"/>
    <s v="2023"/>
    <x v="12"/>
    <n v="0.47368421052631576"/>
    <n v="0.05"/>
  </r>
  <r>
    <x v="4"/>
    <x v="1"/>
    <s v="Velo"/>
    <s v="Medium"/>
    <n v="1250"/>
    <n v="120"/>
    <n v="300"/>
    <n v="375000"/>
    <n v="18750"/>
    <n v="356250"/>
    <n v="312500"/>
    <n v="43750"/>
    <d v="2024-12-01T00:00:00"/>
    <n v="12"/>
    <s v="December"/>
    <s v="2024"/>
    <x v="2"/>
    <n v="0.12280701754385964"/>
    <n v="0.05"/>
  </r>
  <r>
    <x v="0"/>
    <x v="0"/>
    <s v="VTT"/>
    <s v="Medium"/>
    <n v="1389"/>
    <n v="250"/>
    <n v="20"/>
    <n v="27780"/>
    <n v="1389"/>
    <n v="26391"/>
    <n v="13890"/>
    <n v="12501"/>
    <d v="2023-10-01T00:00:00"/>
    <n v="10"/>
    <s v="October"/>
    <s v="2023"/>
    <x v="7"/>
    <n v="0.47368421052631576"/>
    <n v="0.05"/>
  </r>
  <r>
    <x v="0"/>
    <x v="4"/>
    <s v="VTT"/>
    <s v="Medium"/>
    <n v="1265"/>
    <n v="250"/>
    <n v="20"/>
    <n v="25300"/>
    <n v="1265"/>
    <n v="24035"/>
    <n v="12650"/>
    <n v="11385"/>
    <d v="2023-11-01T00:00:00"/>
    <n v="11"/>
    <s v="November"/>
    <s v="2023"/>
    <x v="11"/>
    <n v="0.47368421052631576"/>
    <n v="0.05"/>
  </r>
  <r>
    <x v="0"/>
    <x v="1"/>
    <s v="VTT"/>
    <s v="Medium"/>
    <n v="2297"/>
    <n v="250"/>
    <n v="20"/>
    <n v="45940"/>
    <n v="2297"/>
    <n v="43643"/>
    <n v="22970"/>
    <n v="20673"/>
    <d v="2023-11-01T00:00:00"/>
    <n v="11"/>
    <s v="November"/>
    <s v="2023"/>
    <x v="11"/>
    <n v="0.47368421052631576"/>
    <n v="0.05"/>
  </r>
  <r>
    <x v="0"/>
    <x v="4"/>
    <s v="VTT"/>
    <s v="Medium"/>
    <n v="2663"/>
    <n v="250"/>
    <n v="20"/>
    <n v="53260"/>
    <n v="2663"/>
    <n v="50597"/>
    <n v="26630"/>
    <n v="23967"/>
    <d v="2024-12-01T00:00:00"/>
    <n v="12"/>
    <s v="December"/>
    <s v="2024"/>
    <x v="2"/>
    <n v="0.47368421052631576"/>
    <n v="0.05"/>
  </r>
  <r>
    <x v="0"/>
    <x v="4"/>
    <s v="VTT"/>
    <s v="Medium"/>
    <n v="570"/>
    <n v="250"/>
    <n v="7"/>
    <n v="3990"/>
    <n v="199.5"/>
    <n v="3790.5"/>
    <n v="2850"/>
    <n v="940.5"/>
    <d v="2024-12-01T00:00:00"/>
    <n v="12"/>
    <s v="December"/>
    <s v="2024"/>
    <x v="2"/>
    <n v="0.24812030075187969"/>
    <n v="0.05"/>
  </r>
  <r>
    <x v="0"/>
    <x v="2"/>
    <s v="VTT"/>
    <s v="Medium"/>
    <n v="2487"/>
    <n v="250"/>
    <n v="7"/>
    <n v="17409"/>
    <n v="870.45"/>
    <n v="16538.55"/>
    <n v="12435"/>
    <n v="4103.5499999999993"/>
    <d v="2024-12-01T00:00:00"/>
    <n v="12"/>
    <s v="December"/>
    <s v="2024"/>
    <x v="2"/>
    <n v="0.24812030075187966"/>
    <n v="0.05"/>
  </r>
  <r>
    <x v="0"/>
    <x v="1"/>
    <s v="Amarilla"/>
    <s v="Medium"/>
    <n v="1350"/>
    <n v="260"/>
    <n v="350"/>
    <n v="472500"/>
    <n v="23625"/>
    <n v="448875"/>
    <n v="351000"/>
    <n v="97875"/>
    <d v="2024-02-01T00:00:00"/>
    <n v="2"/>
    <s v="February"/>
    <s v="2024"/>
    <x v="8"/>
    <n v="0.21804511278195488"/>
    <n v="0.05"/>
  </r>
  <r>
    <x v="0"/>
    <x v="0"/>
    <s v="Amarilla"/>
    <s v="Medium"/>
    <n v="552"/>
    <n v="260"/>
    <n v="350"/>
    <n v="193200"/>
    <n v="9660"/>
    <n v="183540"/>
    <n v="143520"/>
    <n v="40020"/>
    <d v="2024-08-01T00:00:00"/>
    <n v="8"/>
    <s v="August"/>
    <s v="2024"/>
    <x v="5"/>
    <n v="0.21804511278195488"/>
    <n v="0.05"/>
  </r>
  <r>
    <x v="0"/>
    <x v="0"/>
    <s v="Amarilla"/>
    <s v="Medium"/>
    <n v="1228"/>
    <n v="260"/>
    <n v="350"/>
    <n v="429800"/>
    <n v="21490"/>
    <n v="408310"/>
    <n v="319280"/>
    <n v="89030"/>
    <d v="2023-10-01T00:00:00"/>
    <n v="10"/>
    <s v="October"/>
    <s v="2023"/>
    <x v="7"/>
    <n v="0.21804511278195488"/>
    <n v="0.05"/>
  </r>
  <r>
    <x v="4"/>
    <x v="1"/>
    <s v="Amarilla"/>
    <s v="Medium"/>
    <n v="1250"/>
    <n v="260"/>
    <n v="300"/>
    <n v="375000"/>
    <n v="18750"/>
    <n v="356250"/>
    <n v="312500"/>
    <n v="43750"/>
    <d v="2024-12-01T00:00:00"/>
    <n v="12"/>
    <s v="December"/>
    <s v="2024"/>
    <x v="2"/>
    <n v="0.12280701754385964"/>
    <n v="0.05"/>
  </r>
  <r>
    <x v="1"/>
    <x v="2"/>
    <s v="Paseo"/>
    <s v="Medium"/>
    <n v="3801"/>
    <n v="10"/>
    <n v="15"/>
    <n v="57015"/>
    <n v="3420.8999999999996"/>
    <n v="53594.100000000006"/>
    <n v="38010"/>
    <n v="15584.100000000002"/>
    <d v="2024-04-01T00:00:00"/>
    <n v="4"/>
    <s v="April"/>
    <s v="2024"/>
    <x v="13"/>
    <n v="0.29078014184397166"/>
    <n v="5.9999999999999991E-2"/>
  </r>
  <r>
    <x v="0"/>
    <x v="4"/>
    <s v="Carretera"/>
    <s v="Medium"/>
    <n v="1117.5"/>
    <n v="3"/>
    <n v="20"/>
    <n v="22350"/>
    <n v="1341"/>
    <n v="21009"/>
    <n v="11175"/>
    <n v="9834"/>
    <d v="2024-01-01T00:00:00"/>
    <n v="1"/>
    <s v="January"/>
    <s v="2024"/>
    <x v="0"/>
    <n v="0.46808510638297873"/>
    <n v="0.06"/>
  </r>
  <r>
    <x v="1"/>
    <x v="0"/>
    <s v="Carretera"/>
    <s v="Medium"/>
    <n v="2844"/>
    <n v="3"/>
    <n v="15"/>
    <n v="42660"/>
    <n v="2559.6"/>
    <n v="40100.400000000001"/>
    <n v="28440"/>
    <n v="11660.400000000001"/>
    <d v="2024-06-01T00:00:00"/>
    <n v="6"/>
    <s v="June"/>
    <s v="2024"/>
    <x v="1"/>
    <n v="0.29078014184397166"/>
    <n v="0.06"/>
  </r>
  <r>
    <x v="2"/>
    <x v="3"/>
    <s v="Carretera"/>
    <s v="Medium"/>
    <n v="562"/>
    <n v="3"/>
    <n v="12"/>
    <n v="6744"/>
    <n v="404.64"/>
    <n v="6339.36"/>
    <n v="1686"/>
    <n v="4653.3599999999997"/>
    <d v="2024-09-01T00:00:00"/>
    <n v="9"/>
    <s v="September"/>
    <s v="2024"/>
    <x v="6"/>
    <n v="0.73404255319148937"/>
    <n v="0.06"/>
  </r>
  <r>
    <x v="2"/>
    <x v="0"/>
    <s v="Carretera"/>
    <s v="Medium"/>
    <n v="2299"/>
    <n v="3"/>
    <n v="12"/>
    <n v="27588"/>
    <n v="1655.28"/>
    <n v="25932.720000000001"/>
    <n v="6897"/>
    <n v="19035.72"/>
    <d v="2023-10-01T00:00:00"/>
    <n v="10"/>
    <s v="October"/>
    <s v="2023"/>
    <x v="7"/>
    <n v="0.73404255319148937"/>
    <n v="0.06"/>
  </r>
  <r>
    <x v="1"/>
    <x v="4"/>
    <s v="Carretera"/>
    <s v="Medium"/>
    <n v="2030"/>
    <n v="3"/>
    <n v="15"/>
    <n v="30450"/>
    <n v="1827"/>
    <n v="28623"/>
    <n v="20300"/>
    <n v="8323"/>
    <d v="2024-11-01T00:00:00"/>
    <n v="11"/>
    <s v="November"/>
    <s v="2024"/>
    <x v="15"/>
    <n v="0.29078014184397161"/>
    <n v="0.06"/>
  </r>
  <r>
    <x v="0"/>
    <x v="4"/>
    <s v="Carretera"/>
    <s v="Medium"/>
    <n v="263"/>
    <n v="3"/>
    <n v="7"/>
    <n v="1841"/>
    <n v="110.46"/>
    <n v="1730.54"/>
    <n v="1315"/>
    <n v="415.53999999999996"/>
    <d v="2023-11-01T00:00:00"/>
    <n v="11"/>
    <s v="November"/>
    <s v="2023"/>
    <x v="11"/>
    <n v="0.24012158054711244"/>
    <n v="0.06"/>
  </r>
  <r>
    <x v="3"/>
    <x v="1"/>
    <s v="Carretera"/>
    <s v="Medium"/>
    <n v="887"/>
    <n v="3"/>
    <n v="125"/>
    <n v="110875"/>
    <n v="6652.5"/>
    <n v="104222.5"/>
    <n v="106440"/>
    <n v="-2217.5"/>
    <d v="2023-12-01T00:00:00"/>
    <n v="12"/>
    <s v="December"/>
    <s v="2023"/>
    <x v="12"/>
    <n v="-2.1276595744680851E-2"/>
    <n v="0.06"/>
  </r>
  <r>
    <x v="0"/>
    <x v="3"/>
    <s v="Montana"/>
    <s v="Medium"/>
    <n v="980"/>
    <n v="5"/>
    <n v="350"/>
    <n v="343000"/>
    <n v="20580"/>
    <n v="322420"/>
    <n v="254800"/>
    <n v="67620"/>
    <d v="2024-04-01T00:00:00"/>
    <n v="4"/>
    <s v="April"/>
    <s v="2024"/>
    <x v="13"/>
    <n v="0.20972644376899696"/>
    <n v="0.06"/>
  </r>
  <r>
    <x v="0"/>
    <x v="1"/>
    <s v="Montana"/>
    <s v="Medium"/>
    <n v="1460"/>
    <n v="5"/>
    <n v="350"/>
    <n v="511000"/>
    <n v="30660"/>
    <n v="480340"/>
    <n v="379600"/>
    <n v="100740"/>
    <d v="2024-05-01T00:00:00"/>
    <n v="5"/>
    <s v="May"/>
    <s v="2024"/>
    <x v="14"/>
    <n v="0.20972644376899696"/>
    <n v="0.06"/>
  </r>
  <r>
    <x v="0"/>
    <x v="2"/>
    <s v="Montana"/>
    <s v="Medium"/>
    <n v="1403"/>
    <n v="5"/>
    <n v="7"/>
    <n v="9821"/>
    <n v="589.26"/>
    <n v="9231.74"/>
    <n v="7015"/>
    <n v="2216.7399999999998"/>
    <d v="2023-10-01T00:00:00"/>
    <n v="10"/>
    <s v="October"/>
    <s v="2023"/>
    <x v="7"/>
    <n v="0.24012158054711244"/>
    <n v="0.06"/>
  </r>
  <r>
    <x v="2"/>
    <x v="4"/>
    <s v="Montana"/>
    <s v="Medium"/>
    <n v="2723"/>
    <n v="5"/>
    <n v="12"/>
    <n v="32676"/>
    <n v="1960.56"/>
    <n v="30715.439999999999"/>
    <n v="8169"/>
    <n v="22546.44"/>
    <d v="2024-11-01T00:00:00"/>
    <n v="11"/>
    <s v="November"/>
    <s v="2024"/>
    <x v="15"/>
    <n v="0.73404255319148937"/>
    <n v="0.06"/>
  </r>
  <r>
    <x v="0"/>
    <x v="2"/>
    <s v="Paseo"/>
    <s v="Medium"/>
    <n v="1496"/>
    <n v="10"/>
    <n v="350"/>
    <n v="523600"/>
    <n v="31416"/>
    <n v="492184"/>
    <n v="388960"/>
    <n v="103224"/>
    <d v="2024-06-01T00:00:00"/>
    <n v="6"/>
    <s v="June"/>
    <s v="2024"/>
    <x v="1"/>
    <n v="0.20972644376899696"/>
    <n v="0.06"/>
  </r>
  <r>
    <x v="2"/>
    <x v="0"/>
    <s v="Paseo"/>
    <s v="Medium"/>
    <n v="2299"/>
    <n v="10"/>
    <n v="12"/>
    <n v="27588"/>
    <n v="1655.28"/>
    <n v="25932.720000000001"/>
    <n v="6897"/>
    <n v="19035.72"/>
    <d v="2023-10-01T00:00:00"/>
    <n v="10"/>
    <s v="October"/>
    <s v="2023"/>
    <x v="7"/>
    <n v="0.73404255319148937"/>
    <n v="0.06"/>
  </r>
  <r>
    <x v="0"/>
    <x v="4"/>
    <s v="Paseo"/>
    <s v="Medium"/>
    <n v="727"/>
    <n v="10"/>
    <n v="350"/>
    <n v="254450"/>
    <n v="15267"/>
    <n v="239183"/>
    <n v="189020"/>
    <n v="50163"/>
    <d v="2023-10-01T00:00:00"/>
    <n v="10"/>
    <s v="October"/>
    <s v="2023"/>
    <x v="7"/>
    <n v="0.20972644376899696"/>
    <n v="0.06"/>
  </r>
  <r>
    <x v="3"/>
    <x v="0"/>
    <s v="Velo"/>
    <s v="Medium"/>
    <n v="952"/>
    <n v="120"/>
    <n v="125"/>
    <n v="119000"/>
    <n v="7140"/>
    <n v="111860"/>
    <n v="114240"/>
    <n v="-2380"/>
    <d v="2024-02-01T00:00:00"/>
    <n v="2"/>
    <s v="February"/>
    <s v="2024"/>
    <x v="8"/>
    <n v="-2.1276595744680851E-2"/>
    <n v="0.06"/>
  </r>
  <r>
    <x v="3"/>
    <x v="4"/>
    <s v="Velo"/>
    <s v="Medium"/>
    <n v="2755"/>
    <n v="120"/>
    <n v="125"/>
    <n v="344375"/>
    <n v="20662.5"/>
    <n v="323712.5"/>
    <n v="330600"/>
    <n v="-6887.5"/>
    <d v="2024-02-01T00:00:00"/>
    <n v="2"/>
    <s v="February"/>
    <s v="2024"/>
    <x v="8"/>
    <n v="-2.1276595744680851E-2"/>
    <n v="0.06"/>
  </r>
  <r>
    <x v="1"/>
    <x v="1"/>
    <s v="Velo"/>
    <s v="Medium"/>
    <n v="1530"/>
    <n v="120"/>
    <n v="15"/>
    <n v="22950"/>
    <n v="1377"/>
    <n v="21573"/>
    <n v="15300"/>
    <n v="6273"/>
    <d v="2024-05-01T00:00:00"/>
    <n v="5"/>
    <s v="May"/>
    <s v="2024"/>
    <x v="14"/>
    <n v="0.29078014184397161"/>
    <n v="0.06"/>
  </r>
  <r>
    <x v="0"/>
    <x v="2"/>
    <s v="Velo"/>
    <s v="Medium"/>
    <n v="1496"/>
    <n v="120"/>
    <n v="350"/>
    <n v="523600"/>
    <n v="31416"/>
    <n v="492184"/>
    <n v="388960"/>
    <n v="103224"/>
    <d v="2024-06-01T00:00:00"/>
    <n v="6"/>
    <s v="June"/>
    <s v="2024"/>
    <x v="1"/>
    <n v="0.20972644376899696"/>
    <n v="0.06"/>
  </r>
  <r>
    <x v="0"/>
    <x v="3"/>
    <s v="Velo"/>
    <s v="Medium"/>
    <n v="1498"/>
    <n v="120"/>
    <n v="7"/>
    <n v="10486"/>
    <n v="629.16"/>
    <n v="9856.84"/>
    <n v="7490"/>
    <n v="2366.84"/>
    <d v="2024-06-01T00:00:00"/>
    <n v="6"/>
    <s v="June"/>
    <s v="2024"/>
    <x v="1"/>
    <n v="0.24012158054711247"/>
    <n v="0.06"/>
  </r>
  <r>
    <x v="4"/>
    <x v="2"/>
    <s v="Velo"/>
    <s v="Medium"/>
    <n v="1221"/>
    <n v="120"/>
    <n v="300"/>
    <n v="366300"/>
    <n v="21978"/>
    <n v="344322"/>
    <n v="305250"/>
    <n v="39072"/>
    <d v="2023-10-01T00:00:00"/>
    <n v="10"/>
    <s v="October"/>
    <s v="2023"/>
    <x v="7"/>
    <n v="0.11347517730496454"/>
    <n v="0.06"/>
  </r>
  <r>
    <x v="0"/>
    <x v="2"/>
    <s v="Velo"/>
    <s v="Medium"/>
    <n v="2076"/>
    <n v="120"/>
    <n v="350"/>
    <n v="726600"/>
    <n v="43596"/>
    <n v="683004"/>
    <n v="539760"/>
    <n v="143244"/>
    <d v="2023-10-01T00:00:00"/>
    <n v="10"/>
    <s v="October"/>
    <s v="2023"/>
    <x v="7"/>
    <n v="0.20972644376899696"/>
    <n v="0.06"/>
  </r>
  <r>
    <x v="1"/>
    <x v="0"/>
    <s v="VTT"/>
    <s v="Medium"/>
    <n v="2844"/>
    <n v="250"/>
    <n v="15"/>
    <n v="42660"/>
    <n v="2559.6"/>
    <n v="40100.400000000001"/>
    <n v="28440"/>
    <n v="11660.400000000001"/>
    <d v="2024-06-01T00:00:00"/>
    <n v="6"/>
    <s v="June"/>
    <s v="2024"/>
    <x v="1"/>
    <n v="0.29078014184397166"/>
    <n v="0.06"/>
  </r>
  <r>
    <x v="0"/>
    <x v="3"/>
    <s v="VTT"/>
    <s v="Medium"/>
    <n v="1498"/>
    <n v="250"/>
    <n v="7"/>
    <n v="10486"/>
    <n v="629.16"/>
    <n v="9856.84"/>
    <n v="7490"/>
    <n v="2366.84"/>
    <d v="2024-06-01T00:00:00"/>
    <n v="6"/>
    <s v="June"/>
    <s v="2024"/>
    <x v="1"/>
    <n v="0.24012158054711247"/>
    <n v="0.06"/>
  </r>
  <r>
    <x v="4"/>
    <x v="2"/>
    <s v="VTT"/>
    <s v="Medium"/>
    <n v="1221"/>
    <n v="250"/>
    <n v="300"/>
    <n v="366300"/>
    <n v="21978"/>
    <n v="344322"/>
    <n v="305250"/>
    <n v="39072"/>
    <d v="2023-10-01T00:00:00"/>
    <n v="10"/>
    <s v="October"/>
    <s v="2023"/>
    <x v="7"/>
    <n v="0.11347517730496454"/>
    <n v="0.06"/>
  </r>
  <r>
    <x v="0"/>
    <x v="3"/>
    <s v="VTT"/>
    <s v="Medium"/>
    <n v="1123"/>
    <n v="250"/>
    <n v="20"/>
    <n v="22460"/>
    <n v="1347.6"/>
    <n v="21112.400000000001"/>
    <n v="11230"/>
    <n v="9882.4000000000015"/>
    <d v="2023-11-01T00:00:00"/>
    <n v="11"/>
    <s v="November"/>
    <s v="2023"/>
    <x v="11"/>
    <n v="0.46808510638297873"/>
    <n v="0.06"/>
  </r>
  <r>
    <x v="4"/>
    <x v="0"/>
    <s v="VTT"/>
    <s v="Medium"/>
    <n v="2436"/>
    <n v="250"/>
    <n v="300"/>
    <n v="730800"/>
    <n v="43848"/>
    <n v="686952"/>
    <n v="609000"/>
    <n v="77952"/>
    <d v="2023-12-01T00:00:00"/>
    <n v="12"/>
    <s v="December"/>
    <s v="2023"/>
    <x v="12"/>
    <n v="0.11347517730496454"/>
    <n v="0.06"/>
  </r>
  <r>
    <x v="3"/>
    <x v="2"/>
    <s v="Amarilla"/>
    <s v="Medium"/>
    <n v="1987.5"/>
    <n v="260"/>
    <n v="125"/>
    <n v="248437.5"/>
    <n v="14906.25"/>
    <n v="233531.25"/>
    <n v="238500"/>
    <n v="-4968.75"/>
    <d v="2024-01-01T00:00:00"/>
    <n v="1"/>
    <s v="January"/>
    <s v="2024"/>
    <x v="0"/>
    <n v="-2.1276595744680851E-2"/>
    <n v="0.06"/>
  </r>
  <r>
    <x v="0"/>
    <x v="3"/>
    <s v="Amarilla"/>
    <s v="Medium"/>
    <n v="1679"/>
    <n v="260"/>
    <n v="350"/>
    <n v="587650"/>
    <n v="35259"/>
    <n v="552391"/>
    <n v="436540"/>
    <n v="115851"/>
    <d v="2024-09-01T00:00:00"/>
    <n v="9"/>
    <s v="September"/>
    <s v="2024"/>
    <x v="6"/>
    <n v="0.20972644376899696"/>
    <n v="0.06"/>
  </r>
  <r>
    <x v="0"/>
    <x v="4"/>
    <s v="Amarilla"/>
    <s v="Medium"/>
    <n v="727"/>
    <n v="260"/>
    <n v="350"/>
    <n v="254450"/>
    <n v="15267"/>
    <n v="239183"/>
    <n v="189020"/>
    <n v="50163"/>
    <d v="2023-10-01T00:00:00"/>
    <n v="10"/>
    <s v="October"/>
    <s v="2023"/>
    <x v="7"/>
    <n v="0.20972644376899696"/>
    <n v="0.06"/>
  </r>
  <r>
    <x v="0"/>
    <x v="2"/>
    <s v="Amarilla"/>
    <s v="Medium"/>
    <n v="1403"/>
    <n v="260"/>
    <n v="7"/>
    <n v="9821"/>
    <n v="589.26"/>
    <n v="9231.74"/>
    <n v="7015"/>
    <n v="2216.7399999999998"/>
    <d v="2023-10-01T00:00:00"/>
    <n v="10"/>
    <s v="October"/>
    <s v="2023"/>
    <x v="7"/>
    <n v="0.24012158054711244"/>
    <n v="0.06"/>
  </r>
  <r>
    <x v="0"/>
    <x v="2"/>
    <s v="Amarilla"/>
    <s v="Medium"/>
    <n v="2076"/>
    <n v="260"/>
    <n v="350"/>
    <n v="726600"/>
    <n v="43596"/>
    <n v="683004"/>
    <n v="539760"/>
    <n v="143244"/>
    <d v="2023-10-01T00:00:00"/>
    <n v="10"/>
    <s v="October"/>
    <s v="2023"/>
    <x v="7"/>
    <n v="0.20972644376899696"/>
    <n v="0.06"/>
  </r>
  <r>
    <x v="0"/>
    <x v="2"/>
    <s v="Montana"/>
    <s v="Medium"/>
    <n v="1757"/>
    <n v="5"/>
    <n v="20"/>
    <n v="35140"/>
    <n v="2108.4"/>
    <n v="33031.599999999999"/>
    <n v="17570"/>
    <n v="15461.599999999999"/>
    <d v="2023-10-01T00:00:00"/>
    <n v="10"/>
    <s v="October"/>
    <s v="2023"/>
    <x v="7"/>
    <n v="0.46808510638297868"/>
    <n v="6.0000000000000005E-2"/>
  </r>
  <r>
    <x v="1"/>
    <x v="4"/>
    <s v="Paseo"/>
    <s v="Medium"/>
    <n v="2198"/>
    <n v="10"/>
    <n v="15"/>
    <n v="32970"/>
    <n v="1978.2"/>
    <n v="30991.8"/>
    <n v="21980"/>
    <n v="9011.7999999999993"/>
    <d v="2024-08-01T00:00:00"/>
    <n v="8"/>
    <s v="August"/>
    <s v="2024"/>
    <x v="5"/>
    <n v="0.29078014184397161"/>
    <n v="6.0000000000000005E-2"/>
  </r>
  <r>
    <x v="1"/>
    <x v="1"/>
    <s v="Paseo"/>
    <s v="Medium"/>
    <n v="1743"/>
    <n v="10"/>
    <n v="15"/>
    <n v="26145"/>
    <n v="1568.7"/>
    <n v="24576.3"/>
    <n v="17430"/>
    <n v="7146.2999999999993"/>
    <d v="2024-08-01T00:00:00"/>
    <n v="8"/>
    <s v="August"/>
    <s v="2024"/>
    <x v="5"/>
    <n v="0.29078014184397161"/>
    <n v="6.0000000000000005E-2"/>
  </r>
  <r>
    <x v="1"/>
    <x v="4"/>
    <s v="Paseo"/>
    <s v="Medium"/>
    <n v="1153"/>
    <n v="10"/>
    <n v="15"/>
    <n v="17295"/>
    <n v="1037.7"/>
    <n v="16257.3"/>
    <n v="11530"/>
    <n v="4727.2999999999993"/>
    <d v="2024-10-01T00:00:00"/>
    <n v="10"/>
    <s v="October"/>
    <s v="2024"/>
    <x v="10"/>
    <n v="0.29078014184397161"/>
    <n v="6.0000000000000005E-2"/>
  </r>
  <r>
    <x v="0"/>
    <x v="2"/>
    <s v="Paseo"/>
    <s v="Medium"/>
    <n v="1757"/>
    <n v="10"/>
    <n v="20"/>
    <n v="35140"/>
    <n v="2108.4"/>
    <n v="33031.599999999999"/>
    <n v="17570"/>
    <n v="15461.599999999999"/>
    <d v="2023-10-01T00:00:00"/>
    <n v="10"/>
    <s v="October"/>
    <s v="2023"/>
    <x v="7"/>
    <n v="0.46808510638297868"/>
    <n v="6.0000000000000005E-2"/>
  </r>
  <r>
    <x v="0"/>
    <x v="1"/>
    <s v="Velo"/>
    <s v="Medium"/>
    <n v="1001"/>
    <n v="120"/>
    <n v="20"/>
    <n v="20020"/>
    <n v="1201.2"/>
    <n v="18818.8"/>
    <n v="10010"/>
    <n v="8808.7999999999993"/>
    <d v="2024-08-01T00:00:00"/>
    <n v="8"/>
    <s v="August"/>
    <s v="2024"/>
    <x v="5"/>
    <n v="0.46808510638297868"/>
    <n v="6.0000000000000005E-2"/>
  </r>
  <r>
    <x v="0"/>
    <x v="3"/>
    <s v="Velo"/>
    <s v="Medium"/>
    <n v="1333"/>
    <n v="120"/>
    <n v="7"/>
    <n v="9331"/>
    <n v="559.86"/>
    <n v="8771.14"/>
    <n v="6665"/>
    <n v="2106.1399999999994"/>
    <d v="2024-11-01T00:00:00"/>
    <n v="11"/>
    <s v="November"/>
    <s v="2024"/>
    <x v="15"/>
    <n v="0.24012158054711241"/>
    <n v="6.0000000000000005E-2"/>
  </r>
  <r>
    <x v="1"/>
    <x v="4"/>
    <s v="VTT"/>
    <s v="Medium"/>
    <n v="1153"/>
    <n v="250"/>
    <n v="15"/>
    <n v="17295"/>
    <n v="1037.7"/>
    <n v="16257.3"/>
    <n v="11530"/>
    <n v="4727.2999999999993"/>
    <d v="2024-10-01T00:00:00"/>
    <n v="10"/>
    <s v="October"/>
    <s v="2024"/>
    <x v="10"/>
    <n v="0.29078014184397161"/>
    <n v="6.0000000000000005E-2"/>
  </r>
  <r>
    <x v="2"/>
    <x v="3"/>
    <s v="Carretera"/>
    <s v="Medium"/>
    <n v="727"/>
    <n v="3"/>
    <n v="12"/>
    <n v="8724"/>
    <n v="610.67999999999995"/>
    <n v="8113.32"/>
    <n v="2181"/>
    <n v="5932.32"/>
    <d v="2024-02-01T00:00:00"/>
    <n v="2"/>
    <s v="February"/>
    <s v="2024"/>
    <x v="8"/>
    <n v="0.73118279569892475"/>
    <n v="6.9999999999999993E-2"/>
  </r>
  <r>
    <x v="2"/>
    <x v="0"/>
    <s v="Carretera"/>
    <s v="Medium"/>
    <n v="1884"/>
    <n v="3"/>
    <n v="12"/>
    <n v="22608"/>
    <n v="1582.56"/>
    <n v="21025.439999999999"/>
    <n v="5652"/>
    <n v="15373.439999999999"/>
    <d v="2024-08-01T00:00:00"/>
    <n v="8"/>
    <s v="August"/>
    <s v="2024"/>
    <x v="5"/>
    <n v="0.73118279569892475"/>
    <n v="6.9999999999999993E-2"/>
  </r>
  <r>
    <x v="0"/>
    <x v="3"/>
    <s v="Carretera"/>
    <s v="Medium"/>
    <n v="1834"/>
    <n v="3"/>
    <n v="20"/>
    <n v="36680"/>
    <n v="2567.6"/>
    <n v="34112.400000000001"/>
    <n v="18340"/>
    <n v="15772.400000000001"/>
    <d v="2023-09-01T00:00:00"/>
    <n v="9"/>
    <s v="September"/>
    <s v="2023"/>
    <x v="9"/>
    <n v="0.4623655913978495"/>
    <n v="6.9999999999999993E-2"/>
  </r>
  <r>
    <x v="2"/>
    <x v="3"/>
    <s v="Montana"/>
    <s v="Medium"/>
    <n v="2340"/>
    <n v="5"/>
    <n v="12"/>
    <n v="28080"/>
    <n v="1965.6"/>
    <n v="26114.400000000001"/>
    <n v="7020"/>
    <n v="19094.400000000001"/>
    <d v="2024-01-01T00:00:00"/>
    <n v="1"/>
    <s v="January"/>
    <s v="2024"/>
    <x v="0"/>
    <n v="0.73118279569892475"/>
    <n v="6.9999999999999993E-2"/>
  </r>
  <r>
    <x v="2"/>
    <x v="2"/>
    <s v="Montana"/>
    <s v="Medium"/>
    <n v="2342"/>
    <n v="5"/>
    <n v="12"/>
    <n v="28104"/>
    <n v="1967.28"/>
    <n v="26136.720000000001"/>
    <n v="7026"/>
    <n v="19110.72"/>
    <d v="2024-11-01T00:00:00"/>
    <n v="11"/>
    <s v="November"/>
    <s v="2024"/>
    <x v="15"/>
    <n v="0.73118279569892475"/>
    <n v="6.9999999999999993E-2"/>
  </r>
  <r>
    <x v="0"/>
    <x v="2"/>
    <s v="Paseo"/>
    <s v="Medium"/>
    <n v="1031"/>
    <n v="10"/>
    <n v="7"/>
    <n v="7217"/>
    <n v="505.19"/>
    <n v="6711.81"/>
    <n v="5155"/>
    <n v="1556.8100000000004"/>
    <d v="2023-09-01T00:00:00"/>
    <n v="9"/>
    <s v="September"/>
    <s v="2023"/>
    <x v="9"/>
    <n v="0.23195084485407072"/>
    <n v="6.9999999999999993E-2"/>
  </r>
  <r>
    <x v="1"/>
    <x v="0"/>
    <s v="Velo"/>
    <s v="Medium"/>
    <n v="1262"/>
    <n v="120"/>
    <n v="15"/>
    <n v="18930"/>
    <n v="1325.1"/>
    <n v="17604.900000000001"/>
    <n v="12620"/>
    <n v="4984.9000000000015"/>
    <d v="2024-05-01T00:00:00"/>
    <n v="5"/>
    <s v="May"/>
    <s v="2024"/>
    <x v="14"/>
    <n v="0.28315412186379935"/>
    <n v="6.9999999999999993E-2"/>
  </r>
  <r>
    <x v="0"/>
    <x v="0"/>
    <s v="Velo"/>
    <s v="Medium"/>
    <n v="1135"/>
    <n v="120"/>
    <n v="7"/>
    <n v="7945"/>
    <n v="556.15"/>
    <n v="7388.85"/>
    <n v="5675"/>
    <n v="1713.8500000000004"/>
    <d v="2024-06-01T00:00:00"/>
    <n v="6"/>
    <s v="June"/>
    <s v="2024"/>
    <x v="1"/>
    <n v="0.23195084485407069"/>
    <n v="6.9999999999999993E-2"/>
  </r>
  <r>
    <x v="0"/>
    <x v="4"/>
    <s v="Velo"/>
    <s v="Medium"/>
    <n v="547"/>
    <n v="120"/>
    <n v="7"/>
    <n v="3829"/>
    <n v="268.02999999999997"/>
    <n v="3560.9700000000003"/>
    <n v="2735"/>
    <n v="825.97000000000025"/>
    <d v="2024-11-01T00:00:00"/>
    <n v="11"/>
    <s v="November"/>
    <s v="2024"/>
    <x v="15"/>
    <n v="0.23195084485407072"/>
    <n v="6.9999999999999993E-2"/>
  </r>
  <r>
    <x v="0"/>
    <x v="0"/>
    <s v="Velo"/>
    <s v="Medium"/>
    <n v="1582"/>
    <n v="120"/>
    <n v="7"/>
    <n v="11074"/>
    <n v="775.18"/>
    <n v="10298.82"/>
    <n v="7910"/>
    <n v="2388.8199999999997"/>
    <d v="2024-12-01T00:00:00"/>
    <n v="12"/>
    <s v="December"/>
    <s v="2024"/>
    <x v="2"/>
    <n v="0.23195084485407064"/>
    <n v="6.9999999999999993E-2"/>
  </r>
  <r>
    <x v="2"/>
    <x v="2"/>
    <s v="VTT"/>
    <s v="Medium"/>
    <n v="1738.5"/>
    <n v="250"/>
    <n v="12"/>
    <n v="20862"/>
    <n v="1460.34"/>
    <n v="19401.66"/>
    <n v="5215.5"/>
    <n v="14186.16"/>
    <d v="2024-04-01T00:00:00"/>
    <n v="4"/>
    <s v="April"/>
    <s v="2024"/>
    <x v="13"/>
    <n v="0.73118279569892475"/>
    <n v="6.9999999999999993E-2"/>
  </r>
  <r>
    <x v="2"/>
    <x v="1"/>
    <s v="VTT"/>
    <s v="Medium"/>
    <n v="2215"/>
    <n v="250"/>
    <n v="12"/>
    <n v="26580"/>
    <n v="1860.6"/>
    <n v="24719.4"/>
    <n v="6645"/>
    <n v="18074.400000000001"/>
    <d v="2023-09-01T00:00:00"/>
    <n v="9"/>
    <s v="September"/>
    <s v="2023"/>
    <x v="9"/>
    <n v="0.73118279569892475"/>
    <n v="6.9999999999999993E-2"/>
  </r>
  <r>
    <x v="0"/>
    <x v="0"/>
    <s v="VTT"/>
    <s v="Medium"/>
    <n v="1582"/>
    <n v="250"/>
    <n v="7"/>
    <n v="11074"/>
    <n v="775.18"/>
    <n v="10298.82"/>
    <n v="7910"/>
    <n v="2388.8199999999997"/>
    <d v="2024-12-01T00:00:00"/>
    <n v="12"/>
    <s v="December"/>
    <s v="2024"/>
    <x v="2"/>
    <n v="0.23195084485407064"/>
    <n v="6.9999999999999993E-2"/>
  </r>
  <r>
    <x v="0"/>
    <x v="0"/>
    <s v="Amarilla"/>
    <s v="Medium"/>
    <n v="1135"/>
    <n v="260"/>
    <n v="7"/>
    <n v="7945"/>
    <n v="556.15"/>
    <n v="7388.85"/>
    <n v="5675"/>
    <n v="1713.8500000000004"/>
    <d v="2024-06-01T00:00:00"/>
    <n v="6"/>
    <s v="June"/>
    <s v="2024"/>
    <x v="1"/>
    <n v="0.23195084485407069"/>
    <n v="6.9999999999999993E-2"/>
  </r>
  <r>
    <x v="0"/>
    <x v="4"/>
    <s v="Carretera"/>
    <s v="Medium"/>
    <n v="1761"/>
    <n v="3"/>
    <n v="350"/>
    <n v="616350"/>
    <n v="43144.5"/>
    <n v="573205.5"/>
    <n v="457860"/>
    <n v="115345.5"/>
    <d v="2024-03-01T00:00:00"/>
    <n v="3"/>
    <s v="March"/>
    <s v="2024"/>
    <x v="3"/>
    <n v="0.20122887864823349"/>
    <n v="7.0000000000000007E-2"/>
  </r>
  <r>
    <x v="4"/>
    <x v="2"/>
    <s v="Carretera"/>
    <s v="Medium"/>
    <n v="448"/>
    <n v="3"/>
    <n v="300"/>
    <n v="134400"/>
    <n v="9408"/>
    <n v="124992"/>
    <n v="112000"/>
    <n v="12992"/>
    <d v="2024-06-01T00:00:00"/>
    <n v="6"/>
    <s v="June"/>
    <s v="2024"/>
    <x v="1"/>
    <n v="0.1039426523297491"/>
    <n v="7.0000000000000007E-2"/>
  </r>
  <r>
    <x v="4"/>
    <x v="2"/>
    <s v="Carretera"/>
    <s v="Medium"/>
    <n v="2181"/>
    <n v="3"/>
    <n v="300"/>
    <n v="654300"/>
    <n v="45801"/>
    <n v="608499"/>
    <n v="545250"/>
    <n v="63249"/>
    <d v="2024-10-01T00:00:00"/>
    <n v="10"/>
    <s v="October"/>
    <s v="2024"/>
    <x v="10"/>
    <n v="0.1039426523297491"/>
    <n v="7.0000000000000007E-2"/>
  </r>
  <r>
    <x v="0"/>
    <x v="2"/>
    <s v="Montana"/>
    <s v="Medium"/>
    <n v="1976"/>
    <n v="5"/>
    <n v="20"/>
    <n v="39520"/>
    <n v="2766.4"/>
    <n v="36753.599999999999"/>
    <n v="19760"/>
    <n v="16993.599999999999"/>
    <d v="2024-10-01T00:00:00"/>
    <n v="10"/>
    <s v="October"/>
    <s v="2024"/>
    <x v="10"/>
    <n v="0.46236559139784944"/>
    <n v="7.0000000000000007E-2"/>
  </r>
  <r>
    <x v="4"/>
    <x v="2"/>
    <s v="Montana"/>
    <s v="Medium"/>
    <n v="2181"/>
    <n v="5"/>
    <n v="300"/>
    <n v="654300"/>
    <n v="45801"/>
    <n v="608499"/>
    <n v="545250"/>
    <n v="63249"/>
    <d v="2024-10-01T00:00:00"/>
    <n v="10"/>
    <s v="October"/>
    <s v="2024"/>
    <x v="10"/>
    <n v="0.1039426523297491"/>
    <n v="7.0000000000000007E-2"/>
  </r>
  <r>
    <x v="3"/>
    <x v="1"/>
    <s v="Montana"/>
    <s v="Medium"/>
    <n v="2500"/>
    <n v="5"/>
    <n v="125"/>
    <n v="312500"/>
    <n v="21875"/>
    <n v="290625"/>
    <n v="300000"/>
    <n v="-9375"/>
    <d v="2023-11-01T00:00:00"/>
    <n v="11"/>
    <s v="November"/>
    <s v="2023"/>
    <x v="11"/>
    <n v="-3.2258064516129031E-2"/>
    <n v="7.0000000000000007E-2"/>
  </r>
  <r>
    <x v="4"/>
    <x v="0"/>
    <s v="Paseo"/>
    <s v="Medium"/>
    <n v="1702"/>
    <n v="10"/>
    <n v="300"/>
    <n v="510600"/>
    <n v="35742"/>
    <n v="474858"/>
    <n v="425500"/>
    <n v="49358"/>
    <d v="2024-05-01T00:00:00"/>
    <n v="5"/>
    <s v="May"/>
    <s v="2024"/>
    <x v="14"/>
    <n v="0.1039426523297491"/>
    <n v="7.0000000000000007E-2"/>
  </r>
  <r>
    <x v="4"/>
    <x v="2"/>
    <s v="Paseo"/>
    <s v="Medium"/>
    <n v="448"/>
    <n v="10"/>
    <n v="300"/>
    <n v="134400"/>
    <n v="9408"/>
    <n v="124992"/>
    <n v="112000"/>
    <n v="12992"/>
    <d v="2024-06-01T00:00:00"/>
    <n v="6"/>
    <s v="June"/>
    <s v="2024"/>
    <x v="1"/>
    <n v="0.1039426523297491"/>
    <n v="7.0000000000000007E-2"/>
  </r>
  <r>
    <x v="3"/>
    <x v="1"/>
    <s v="Paseo"/>
    <s v="Medium"/>
    <n v="3513"/>
    <n v="10"/>
    <n v="125"/>
    <n v="439125"/>
    <n v="30738.75"/>
    <n v="408386.25"/>
    <n v="421560"/>
    <n v="-13173.75"/>
    <d v="2024-07-01T00:00:00"/>
    <n v="7"/>
    <s v="July"/>
    <s v="2024"/>
    <x v="4"/>
    <n v="-3.2258064516129031E-2"/>
    <n v="7.0000000000000007E-2"/>
  </r>
  <r>
    <x v="1"/>
    <x v="2"/>
    <s v="Paseo"/>
    <s v="Medium"/>
    <n v="2101"/>
    <n v="10"/>
    <n v="15"/>
    <n v="31515"/>
    <n v="2206.0500000000002"/>
    <n v="29308.95"/>
    <n v="21010"/>
    <n v="8298.9500000000007"/>
    <d v="2024-08-01T00:00:00"/>
    <n v="8"/>
    <s v="August"/>
    <s v="2024"/>
    <x v="5"/>
    <n v="0.28315412186379929"/>
    <n v="7.0000000000000007E-2"/>
  </r>
  <r>
    <x v="1"/>
    <x v="4"/>
    <s v="Paseo"/>
    <s v="Medium"/>
    <n v="2931"/>
    <n v="10"/>
    <n v="15"/>
    <n v="43965"/>
    <n v="3077.55"/>
    <n v="40887.449999999997"/>
    <n v="29310"/>
    <n v="11577.449999999997"/>
    <d v="2023-09-01T00:00:00"/>
    <n v="9"/>
    <s v="September"/>
    <s v="2023"/>
    <x v="9"/>
    <n v="0.28315412186379924"/>
    <n v="7.0000000000000007E-2"/>
  </r>
  <r>
    <x v="0"/>
    <x v="2"/>
    <s v="Paseo"/>
    <s v="Medium"/>
    <n v="1535"/>
    <n v="10"/>
    <n v="20"/>
    <n v="30700"/>
    <n v="2149"/>
    <n v="28551"/>
    <n v="15350"/>
    <n v="13201"/>
    <d v="2024-09-01T00:00:00"/>
    <n v="9"/>
    <s v="September"/>
    <s v="2024"/>
    <x v="6"/>
    <n v="0.46236559139784944"/>
    <n v="7.0000000000000007E-2"/>
  </r>
  <r>
    <x v="4"/>
    <x v="1"/>
    <s v="Paseo"/>
    <s v="Medium"/>
    <n v="1123"/>
    <n v="10"/>
    <n v="300"/>
    <n v="336900"/>
    <n v="23583"/>
    <n v="313317"/>
    <n v="280750"/>
    <n v="32567"/>
    <d v="2023-09-01T00:00:00"/>
    <n v="9"/>
    <s v="September"/>
    <s v="2023"/>
    <x v="9"/>
    <n v="0.1039426523297491"/>
    <n v="7.0000000000000007E-2"/>
  </r>
  <r>
    <x v="4"/>
    <x v="0"/>
    <s v="Paseo"/>
    <s v="Medium"/>
    <n v="1404"/>
    <n v="10"/>
    <n v="300"/>
    <n v="421200"/>
    <n v="29484"/>
    <n v="391716"/>
    <n v="351000"/>
    <n v="40716"/>
    <d v="2023-11-01T00:00:00"/>
    <n v="11"/>
    <s v="November"/>
    <s v="2023"/>
    <x v="11"/>
    <n v="0.1039426523297491"/>
    <n v="7.0000000000000007E-2"/>
  </r>
  <r>
    <x v="2"/>
    <x v="3"/>
    <s v="Paseo"/>
    <s v="Medium"/>
    <n v="2763"/>
    <n v="10"/>
    <n v="12"/>
    <n v="33156"/>
    <n v="2320.92"/>
    <n v="30835.08"/>
    <n v="8289"/>
    <n v="22546.080000000002"/>
    <d v="2023-11-01T00:00:00"/>
    <n v="11"/>
    <s v="November"/>
    <s v="2023"/>
    <x v="11"/>
    <n v="0.73118279569892475"/>
    <n v="7.0000000000000007E-2"/>
  </r>
  <r>
    <x v="0"/>
    <x v="1"/>
    <s v="Paseo"/>
    <s v="Medium"/>
    <n v="2125"/>
    <n v="10"/>
    <n v="7"/>
    <n v="14875"/>
    <n v="1041.25"/>
    <n v="13833.75"/>
    <n v="10625"/>
    <n v="3208.75"/>
    <d v="2023-12-01T00:00:00"/>
    <n v="12"/>
    <s v="December"/>
    <s v="2023"/>
    <x v="12"/>
    <n v="0.23195084485407066"/>
    <n v="7.0000000000000007E-2"/>
  </r>
  <r>
    <x v="4"/>
    <x v="2"/>
    <s v="Velo"/>
    <s v="Medium"/>
    <n v="1659"/>
    <n v="120"/>
    <n v="300"/>
    <n v="497700"/>
    <n v="34839"/>
    <n v="462861"/>
    <n v="414750"/>
    <n v="48111"/>
    <d v="2024-07-01T00:00:00"/>
    <n v="7"/>
    <s v="July"/>
    <s v="2024"/>
    <x v="4"/>
    <n v="0.1039426523297491"/>
    <n v="7.0000000000000007E-2"/>
  </r>
  <r>
    <x v="0"/>
    <x v="3"/>
    <s v="Velo"/>
    <s v="Medium"/>
    <n v="609"/>
    <n v="120"/>
    <n v="20"/>
    <n v="12180"/>
    <n v="852.6"/>
    <n v="11327.4"/>
    <n v="6090"/>
    <n v="5237.3999999999996"/>
    <d v="2024-08-01T00:00:00"/>
    <n v="8"/>
    <s v="August"/>
    <s v="2024"/>
    <x v="5"/>
    <n v="0.46236559139784944"/>
    <n v="7.0000000000000007E-2"/>
  </r>
  <r>
    <x v="3"/>
    <x v="1"/>
    <s v="Velo"/>
    <s v="Medium"/>
    <n v="2087"/>
    <n v="120"/>
    <n v="125"/>
    <n v="260875"/>
    <n v="18261.25"/>
    <n v="242613.75"/>
    <n v="250440"/>
    <n v="-7826.25"/>
    <d v="2024-09-01T00:00:00"/>
    <n v="9"/>
    <s v="September"/>
    <s v="2024"/>
    <x v="6"/>
    <n v="-3.2258064516129031E-2"/>
    <n v="7.0000000000000007E-2"/>
  </r>
  <r>
    <x v="0"/>
    <x v="2"/>
    <s v="Velo"/>
    <s v="Medium"/>
    <n v="1976"/>
    <n v="120"/>
    <n v="20"/>
    <n v="39520"/>
    <n v="2766.4"/>
    <n v="36753.599999999999"/>
    <n v="19760"/>
    <n v="16993.599999999999"/>
    <d v="2024-10-01T00:00:00"/>
    <n v="10"/>
    <s v="October"/>
    <s v="2024"/>
    <x v="10"/>
    <n v="0.46236559139784944"/>
    <n v="7.0000000000000007E-2"/>
  </r>
  <r>
    <x v="0"/>
    <x v="4"/>
    <s v="Velo"/>
    <s v="Medium"/>
    <n v="1421"/>
    <n v="120"/>
    <n v="20"/>
    <n v="28420"/>
    <n v="1989.4"/>
    <n v="26430.6"/>
    <n v="14210"/>
    <n v="12220.599999999999"/>
    <d v="2023-12-01T00:00:00"/>
    <n v="12"/>
    <s v="December"/>
    <s v="2023"/>
    <x v="12"/>
    <n v="0.46236559139784944"/>
    <n v="7.0000000000000007E-2"/>
  </r>
  <r>
    <x v="4"/>
    <x v="4"/>
    <s v="Velo"/>
    <s v="Medium"/>
    <n v="1372"/>
    <n v="120"/>
    <n v="300"/>
    <n v="411600"/>
    <n v="28812"/>
    <n v="382788"/>
    <n v="343000"/>
    <n v="39788"/>
    <d v="2024-12-01T00:00:00"/>
    <n v="12"/>
    <s v="December"/>
    <s v="2024"/>
    <x v="2"/>
    <n v="0.1039426523297491"/>
    <n v="7.0000000000000007E-2"/>
  </r>
  <r>
    <x v="0"/>
    <x v="1"/>
    <s v="Velo"/>
    <s v="Medium"/>
    <n v="588"/>
    <n v="120"/>
    <n v="20"/>
    <n v="11760"/>
    <n v="823.2"/>
    <n v="10936.8"/>
    <n v="5880"/>
    <n v="5056.7999999999993"/>
    <d v="2023-12-01T00:00:00"/>
    <n v="12"/>
    <s v="December"/>
    <s v="2023"/>
    <x v="12"/>
    <n v="0.46236559139784944"/>
    <n v="7.0000000000000007E-2"/>
  </r>
  <r>
    <x v="2"/>
    <x v="0"/>
    <s v="VTT"/>
    <s v="Medium"/>
    <n v="3244.5"/>
    <n v="250"/>
    <n v="12"/>
    <n v="38934"/>
    <n v="2725.38"/>
    <n v="36208.620000000003"/>
    <n v="9733.5"/>
    <n v="26475.120000000003"/>
    <d v="2024-01-01T00:00:00"/>
    <n v="1"/>
    <s v="January"/>
    <s v="2024"/>
    <x v="0"/>
    <n v="0.73118279569892475"/>
    <n v="7.0000000000000007E-2"/>
  </r>
  <r>
    <x v="4"/>
    <x v="2"/>
    <s v="VTT"/>
    <s v="Medium"/>
    <n v="959"/>
    <n v="250"/>
    <n v="300"/>
    <n v="287700"/>
    <n v="20239"/>
    <n v="267561"/>
    <n v="239750"/>
    <n v="27811"/>
    <d v="2024-02-01T00:00:00"/>
    <n v="2"/>
    <s v="February"/>
    <s v="2024"/>
    <x v="8"/>
    <n v="0.1039426523297491"/>
    <n v="7.0347584289190135E-2"/>
  </r>
  <r>
    <x v="4"/>
    <x v="3"/>
    <s v="VTT"/>
    <s v="Medium"/>
    <n v="2747"/>
    <n v="250"/>
    <n v="300"/>
    <n v="824100"/>
    <n v="57687"/>
    <n v="766413"/>
    <n v="686750"/>
    <n v="79663"/>
    <d v="2024-02-01T00:00:00"/>
    <n v="2"/>
    <s v="February"/>
    <s v="2024"/>
    <x v="8"/>
    <n v="0.1039426523297491"/>
    <n v="7.0000000000000007E-2"/>
  </r>
  <r>
    <x v="3"/>
    <x v="0"/>
    <s v="Amarilla"/>
    <s v="Medium"/>
    <n v="1645"/>
    <n v="260"/>
    <n v="125"/>
    <n v="205625"/>
    <n v="14393.75"/>
    <n v="191231.25"/>
    <n v="197400"/>
    <n v="-6168.75"/>
    <d v="2024-05-01T00:00:00"/>
    <n v="5"/>
    <s v="May"/>
    <s v="2024"/>
    <x v="14"/>
    <n v="-3.2258064516129031E-2"/>
    <n v="7.0000000000000007E-2"/>
  </r>
  <r>
    <x v="0"/>
    <x v="2"/>
    <s v="Amarilla"/>
    <s v="Medium"/>
    <n v="2876"/>
    <n v="260"/>
    <n v="350"/>
    <n v="1006600"/>
    <n v="70462"/>
    <n v="936138"/>
    <n v="747760"/>
    <n v="188378"/>
    <d v="2024-09-01T00:00:00"/>
    <n v="9"/>
    <s v="September"/>
    <s v="2024"/>
    <x v="6"/>
    <n v="0.20122887864823349"/>
    <n v="7.0000000000000007E-2"/>
  </r>
  <r>
    <x v="3"/>
    <x v="1"/>
    <s v="Amarilla"/>
    <s v="Medium"/>
    <n v="994"/>
    <n v="260"/>
    <n v="125"/>
    <n v="124250"/>
    <n v="8697.5"/>
    <n v="115552.5"/>
    <n v="119280"/>
    <n v="-3727.5"/>
    <d v="2023-09-01T00:00:00"/>
    <n v="9"/>
    <s v="September"/>
    <s v="2023"/>
    <x v="9"/>
    <n v="-3.2258064516129031E-2"/>
    <n v="7.0000000000000007E-2"/>
  </r>
  <r>
    <x v="0"/>
    <x v="0"/>
    <s v="Amarilla"/>
    <s v="Medium"/>
    <n v="1118"/>
    <n v="260"/>
    <n v="20"/>
    <n v="22360"/>
    <n v="1565.2"/>
    <n v="20794.8"/>
    <n v="11180"/>
    <n v="9614.7999999999993"/>
    <d v="2024-11-01T00:00:00"/>
    <n v="11"/>
    <s v="November"/>
    <s v="2024"/>
    <x v="15"/>
    <n v="0.46236559139784944"/>
    <n v="7.0000000000000007E-2"/>
  </r>
  <r>
    <x v="4"/>
    <x v="4"/>
    <s v="Amarilla"/>
    <s v="Medium"/>
    <n v="1372"/>
    <n v="260"/>
    <n v="300"/>
    <n v="411600"/>
    <n v="28812"/>
    <n v="382788"/>
    <n v="343000"/>
    <n v="39788"/>
    <d v="2024-12-01T00:00:00"/>
    <n v="12"/>
    <s v="December"/>
    <s v="2024"/>
    <x v="2"/>
    <n v="0.1039426523297491"/>
    <n v="7.0000000000000007E-2"/>
  </r>
  <r>
    <x v="0"/>
    <x v="0"/>
    <s v="Montana"/>
    <s v="Medium"/>
    <n v="488"/>
    <n v="5"/>
    <n v="7"/>
    <n v="3416"/>
    <n v="273.27999999999997"/>
    <n v="3142.7200000000003"/>
    <n v="2440"/>
    <n v="702.72000000000025"/>
    <d v="2024-02-01T00:00:00"/>
    <n v="2"/>
    <s v="February"/>
    <s v="2024"/>
    <x v="8"/>
    <n v="0.22360248447204975"/>
    <n v="7.9999999999999988E-2"/>
  </r>
  <r>
    <x v="0"/>
    <x v="4"/>
    <s v="Montana"/>
    <s v="Medium"/>
    <n v="1282"/>
    <n v="5"/>
    <n v="20"/>
    <n v="25640"/>
    <n v="2051.1999999999998"/>
    <n v="23588.799999999999"/>
    <n v="12820"/>
    <n v="10768.8"/>
    <d v="2024-06-01T00:00:00"/>
    <n v="6"/>
    <s v="June"/>
    <s v="2024"/>
    <x v="1"/>
    <n v="0.45652173913043476"/>
    <n v="7.9999999999999988E-2"/>
  </r>
  <r>
    <x v="0"/>
    <x v="0"/>
    <s v="Paseo"/>
    <s v="Medium"/>
    <n v="257"/>
    <n v="10"/>
    <n v="7"/>
    <n v="1799"/>
    <n v="143.91999999999999"/>
    <n v="1655.08"/>
    <n v="1285"/>
    <n v="370.07999999999993"/>
    <d v="2024-05-01T00:00:00"/>
    <n v="5"/>
    <s v="May"/>
    <s v="2024"/>
    <x v="14"/>
    <n v="0.22360248447204967"/>
    <n v="7.9999999999999988E-2"/>
  </r>
  <r>
    <x v="0"/>
    <x v="4"/>
    <s v="Amarilla"/>
    <s v="Medium"/>
    <n v="1282"/>
    <n v="260"/>
    <n v="20"/>
    <n v="25640"/>
    <n v="2051.1999999999998"/>
    <n v="23588.799999999999"/>
    <n v="12820"/>
    <n v="10768.8"/>
    <d v="2024-06-01T00:00:00"/>
    <n v="6"/>
    <s v="June"/>
    <s v="2024"/>
    <x v="1"/>
    <n v="0.45652173913043476"/>
    <n v="7.9999999999999988E-2"/>
  </r>
  <r>
    <x v="3"/>
    <x v="3"/>
    <s v="Carretera"/>
    <s v="Medium"/>
    <n v="1540"/>
    <n v="3"/>
    <n v="125"/>
    <n v="192500"/>
    <n v="15400"/>
    <n v="177100"/>
    <n v="184800"/>
    <n v="-7700"/>
    <d v="2024-08-01T00:00:00"/>
    <n v="8"/>
    <s v="August"/>
    <s v="2024"/>
    <x v="5"/>
    <n v="-4.3478260869565216E-2"/>
    <n v="0.08"/>
  </r>
  <r>
    <x v="1"/>
    <x v="2"/>
    <s v="Carretera"/>
    <s v="Medium"/>
    <n v="490"/>
    <n v="3"/>
    <n v="15"/>
    <n v="7350"/>
    <n v="588"/>
    <n v="6762"/>
    <n v="4900"/>
    <n v="1862"/>
    <d v="2024-11-01T00:00:00"/>
    <n v="11"/>
    <s v="November"/>
    <s v="2024"/>
    <x v="15"/>
    <n v="0.27536231884057971"/>
    <n v="0.08"/>
  </r>
  <r>
    <x v="0"/>
    <x v="3"/>
    <s v="Carretera"/>
    <s v="Medium"/>
    <n v="1362"/>
    <n v="3"/>
    <n v="350"/>
    <n v="476700"/>
    <n v="38136"/>
    <n v="438564"/>
    <n v="354120"/>
    <n v="84444"/>
    <d v="2024-12-01T00:00:00"/>
    <n v="12"/>
    <s v="December"/>
    <s v="2024"/>
    <x v="2"/>
    <n v="0.19254658385093168"/>
    <n v="0.08"/>
  </r>
  <r>
    <x v="1"/>
    <x v="2"/>
    <s v="Montana"/>
    <s v="Medium"/>
    <n v="2501"/>
    <n v="5"/>
    <n v="15"/>
    <n v="37515"/>
    <n v="3001.2"/>
    <n v="34513.800000000003"/>
    <n v="25010"/>
    <n v="9503.8000000000029"/>
    <d v="2024-03-01T00:00:00"/>
    <n v="3"/>
    <s v="March"/>
    <s v="2024"/>
    <x v="3"/>
    <n v="0.27536231884057977"/>
    <n v="0.08"/>
  </r>
  <r>
    <x v="0"/>
    <x v="0"/>
    <s v="Montana"/>
    <s v="Medium"/>
    <n v="708"/>
    <n v="5"/>
    <n v="20"/>
    <n v="14160"/>
    <n v="1132.8"/>
    <n v="13027.2"/>
    <n v="7080"/>
    <n v="5947.2000000000007"/>
    <d v="2024-06-01T00:00:00"/>
    <n v="6"/>
    <s v="June"/>
    <s v="2024"/>
    <x v="1"/>
    <n v="0.45652173913043481"/>
    <n v="0.08"/>
  </r>
  <r>
    <x v="0"/>
    <x v="1"/>
    <s v="Montana"/>
    <s v="Medium"/>
    <n v="645"/>
    <n v="5"/>
    <n v="20"/>
    <n v="12900"/>
    <n v="1032"/>
    <n v="11868"/>
    <n v="6450"/>
    <n v="5418"/>
    <d v="2024-07-01T00:00:00"/>
    <n v="7"/>
    <s v="July"/>
    <s v="2024"/>
    <x v="4"/>
    <n v="0.45652173913043476"/>
    <n v="0.08"/>
  </r>
  <r>
    <x v="4"/>
    <x v="2"/>
    <s v="Montana"/>
    <s v="Medium"/>
    <n v="1562"/>
    <n v="5"/>
    <n v="300"/>
    <n v="468600"/>
    <n v="37488"/>
    <n v="431112"/>
    <n v="390500"/>
    <n v="40612"/>
    <d v="2024-08-01T00:00:00"/>
    <n v="8"/>
    <s v="August"/>
    <s v="2024"/>
    <x v="5"/>
    <n v="9.420289855072464E-2"/>
    <n v="0.08"/>
  </r>
  <r>
    <x v="4"/>
    <x v="0"/>
    <s v="Montana"/>
    <s v="Medium"/>
    <n v="1283"/>
    <n v="5"/>
    <n v="300"/>
    <n v="384900"/>
    <n v="30792"/>
    <n v="354108"/>
    <n v="320750"/>
    <n v="33358"/>
    <d v="2023-09-01T00:00:00"/>
    <n v="9"/>
    <s v="September"/>
    <s v="2023"/>
    <x v="9"/>
    <n v="9.420289855072464E-2"/>
    <n v="0.08"/>
  </r>
  <r>
    <x v="1"/>
    <x v="1"/>
    <s v="Montana"/>
    <s v="Medium"/>
    <n v="711"/>
    <n v="5"/>
    <n v="15"/>
    <n v="10665"/>
    <n v="853.2"/>
    <n v="9811.7999999999993"/>
    <n v="7110"/>
    <n v="2701.7999999999993"/>
    <d v="2024-12-01T00:00:00"/>
    <n v="12"/>
    <s v="December"/>
    <s v="2024"/>
    <x v="2"/>
    <n v="0.27536231884057966"/>
    <n v="0.08"/>
  </r>
  <r>
    <x v="3"/>
    <x v="3"/>
    <s v="Paseo"/>
    <s v="Medium"/>
    <n v="1114"/>
    <n v="10"/>
    <n v="125"/>
    <n v="139250"/>
    <n v="11140"/>
    <n v="128110"/>
    <n v="133680"/>
    <n v="-5570"/>
    <d v="2024-03-01T00:00:00"/>
    <n v="3"/>
    <s v="March"/>
    <s v="2024"/>
    <x v="3"/>
    <n v="-4.3478260869565216E-2"/>
    <n v="0.08"/>
  </r>
  <r>
    <x v="0"/>
    <x v="1"/>
    <s v="Paseo"/>
    <s v="Medium"/>
    <n v="1259"/>
    <n v="10"/>
    <n v="7"/>
    <n v="8813"/>
    <n v="705.04"/>
    <n v="8107.96"/>
    <n v="6295"/>
    <n v="1812.96"/>
    <d v="2024-04-01T00:00:00"/>
    <n v="4"/>
    <s v="April"/>
    <s v="2024"/>
    <x v="13"/>
    <n v="0.2236024844720497"/>
    <n v="0.08"/>
  </r>
  <r>
    <x v="0"/>
    <x v="1"/>
    <s v="Paseo"/>
    <s v="Medium"/>
    <n v="1095"/>
    <n v="10"/>
    <n v="7"/>
    <n v="7665"/>
    <n v="613.20000000000005"/>
    <n v="7051.8"/>
    <n v="5475"/>
    <n v="1576.8000000000002"/>
    <d v="2024-05-01T00:00:00"/>
    <n v="5"/>
    <s v="May"/>
    <s v="2024"/>
    <x v="14"/>
    <n v="0.22360248447204972"/>
    <n v="0.08"/>
  </r>
  <r>
    <x v="0"/>
    <x v="1"/>
    <s v="Paseo"/>
    <s v="Medium"/>
    <n v="1366"/>
    <n v="10"/>
    <n v="20"/>
    <n v="27320"/>
    <n v="2185.6"/>
    <n v="25134.400000000001"/>
    <n v="13660"/>
    <n v="11474.400000000001"/>
    <d v="2024-06-01T00:00:00"/>
    <n v="6"/>
    <s v="June"/>
    <s v="2024"/>
    <x v="1"/>
    <n v="0.45652173913043481"/>
    <n v="0.08"/>
  </r>
  <r>
    <x v="4"/>
    <x v="3"/>
    <s v="Paseo"/>
    <s v="Medium"/>
    <n v="2460"/>
    <n v="10"/>
    <n v="300"/>
    <n v="738000"/>
    <n v="59040"/>
    <n v="678960"/>
    <n v="615000"/>
    <n v="63960"/>
    <d v="2024-06-01T00:00:00"/>
    <n v="6"/>
    <s v="June"/>
    <s v="2024"/>
    <x v="1"/>
    <n v="9.420289855072464E-2"/>
    <n v="0.08"/>
  </r>
  <r>
    <x v="0"/>
    <x v="4"/>
    <s v="Paseo"/>
    <s v="Medium"/>
    <n v="678"/>
    <n v="10"/>
    <n v="7"/>
    <n v="4746"/>
    <n v="379.68"/>
    <n v="4366.32"/>
    <n v="3390"/>
    <n v="976.31999999999971"/>
    <d v="2024-08-01T00:00:00"/>
    <n v="8"/>
    <s v="August"/>
    <s v="2024"/>
    <x v="5"/>
    <n v="0.22360248447204964"/>
    <n v="0.08"/>
  </r>
  <r>
    <x v="0"/>
    <x v="1"/>
    <s v="Paseo"/>
    <s v="Medium"/>
    <n v="1598"/>
    <n v="10"/>
    <n v="7"/>
    <n v="11186"/>
    <n v="894.88"/>
    <n v="10291.120000000001"/>
    <n v="7990"/>
    <n v="2301.1200000000008"/>
    <d v="2024-08-01T00:00:00"/>
    <n v="8"/>
    <s v="August"/>
    <s v="2024"/>
    <x v="5"/>
    <n v="0.22360248447204975"/>
    <n v="0.08"/>
  </r>
  <r>
    <x v="0"/>
    <x v="1"/>
    <s v="Paseo"/>
    <s v="Medium"/>
    <n v="2409"/>
    <n v="10"/>
    <n v="7"/>
    <n v="16863"/>
    <n v="1349.04"/>
    <n v="15513.96"/>
    <n v="12045"/>
    <n v="3468.9599999999991"/>
    <d v="2023-09-01T00:00:00"/>
    <n v="9"/>
    <s v="September"/>
    <s v="2023"/>
    <x v="9"/>
    <n v="0.22360248447204964"/>
    <n v="0.08"/>
  </r>
  <r>
    <x v="0"/>
    <x v="1"/>
    <s v="Paseo"/>
    <s v="Medium"/>
    <n v="1934"/>
    <n v="10"/>
    <n v="20"/>
    <n v="38680"/>
    <n v="3094.4"/>
    <n v="35585.599999999999"/>
    <n v="19340"/>
    <n v="16245.599999999999"/>
    <d v="2024-09-01T00:00:00"/>
    <n v="9"/>
    <s v="September"/>
    <s v="2024"/>
    <x v="6"/>
    <n v="0.45652173913043476"/>
    <n v="0.08"/>
  </r>
  <r>
    <x v="0"/>
    <x v="3"/>
    <s v="Paseo"/>
    <s v="Medium"/>
    <n v="2993"/>
    <n v="10"/>
    <n v="20"/>
    <n v="59860"/>
    <n v="4788.8"/>
    <n v="55071.199999999997"/>
    <n v="29930"/>
    <n v="25141.199999999997"/>
    <d v="2024-09-01T00:00:00"/>
    <n v="9"/>
    <s v="September"/>
    <s v="2024"/>
    <x v="6"/>
    <n v="0.45652173913043476"/>
    <n v="0.08"/>
  </r>
  <r>
    <x v="0"/>
    <x v="1"/>
    <s v="Paseo"/>
    <s v="Medium"/>
    <n v="2146"/>
    <n v="10"/>
    <n v="350"/>
    <n v="751100"/>
    <n v="60088"/>
    <n v="691012"/>
    <n v="557960"/>
    <n v="133052"/>
    <d v="2023-11-01T00:00:00"/>
    <n v="11"/>
    <s v="November"/>
    <s v="2023"/>
    <x v="11"/>
    <n v="0.19254658385093168"/>
    <n v="0.08"/>
  </r>
  <r>
    <x v="0"/>
    <x v="3"/>
    <s v="Paseo"/>
    <s v="Medium"/>
    <n v="1946"/>
    <n v="10"/>
    <n v="7"/>
    <n v="13622"/>
    <n v="1089.76"/>
    <n v="12532.24"/>
    <n v="9730"/>
    <n v="2802.24"/>
    <d v="2023-12-01T00:00:00"/>
    <n v="12"/>
    <s v="December"/>
    <s v="2023"/>
    <x v="12"/>
    <n v="0.22360248447204967"/>
    <n v="0.08"/>
  </r>
  <r>
    <x v="0"/>
    <x v="3"/>
    <s v="Paseo"/>
    <s v="Medium"/>
    <n v="1362"/>
    <n v="10"/>
    <n v="350"/>
    <n v="476700"/>
    <n v="38136"/>
    <n v="438564"/>
    <n v="354120"/>
    <n v="84444"/>
    <d v="2024-12-01T00:00:00"/>
    <n v="12"/>
    <s v="December"/>
    <s v="2024"/>
    <x v="2"/>
    <n v="0.19254658385093168"/>
    <n v="0.08"/>
  </r>
  <r>
    <x v="2"/>
    <x v="0"/>
    <s v="Velo"/>
    <s v="Medium"/>
    <n v="598"/>
    <n v="120"/>
    <n v="12"/>
    <n v="7176"/>
    <n v="574.08000000000004"/>
    <n v="6601.92"/>
    <n v="1794"/>
    <n v="4807.92"/>
    <d v="2024-03-01T00:00:00"/>
    <n v="3"/>
    <s v="March"/>
    <s v="2024"/>
    <x v="3"/>
    <n v="0.72826086956521741"/>
    <n v="0.08"/>
  </r>
  <r>
    <x v="0"/>
    <x v="4"/>
    <s v="Velo"/>
    <s v="Medium"/>
    <n v="2907"/>
    <n v="120"/>
    <n v="7"/>
    <n v="20349"/>
    <n v="1627.92"/>
    <n v="18721.080000000002"/>
    <n v="14535"/>
    <n v="4186.0800000000017"/>
    <d v="2024-06-01T00:00:00"/>
    <n v="6"/>
    <s v="June"/>
    <s v="2024"/>
    <x v="1"/>
    <n v="0.22360248447204975"/>
    <n v="0.08"/>
  </r>
  <r>
    <x v="0"/>
    <x v="1"/>
    <s v="Velo"/>
    <s v="Medium"/>
    <n v="2338"/>
    <n v="120"/>
    <n v="7"/>
    <n v="16366"/>
    <n v="1309.28"/>
    <n v="15056.72"/>
    <n v="11690"/>
    <n v="3366.7199999999993"/>
    <d v="2024-06-01T00:00:00"/>
    <n v="6"/>
    <s v="June"/>
    <s v="2024"/>
    <x v="1"/>
    <n v="0.22360248447204967"/>
    <n v="0.08"/>
  </r>
  <r>
    <x v="4"/>
    <x v="2"/>
    <s v="Velo"/>
    <s v="Medium"/>
    <n v="386"/>
    <n v="120"/>
    <n v="300"/>
    <n v="115800"/>
    <n v="9264"/>
    <n v="106536"/>
    <n v="96500"/>
    <n v="10036"/>
    <d v="2023-11-01T00:00:00"/>
    <n v="11"/>
    <s v="November"/>
    <s v="2023"/>
    <x v="11"/>
    <n v="9.420289855072464E-2"/>
    <n v="0.08"/>
  </r>
  <r>
    <x v="4"/>
    <x v="3"/>
    <s v="Velo"/>
    <s v="Medium"/>
    <n v="635"/>
    <n v="120"/>
    <n v="300"/>
    <n v="190500"/>
    <n v="15240"/>
    <n v="175260"/>
    <n v="158750"/>
    <n v="16510"/>
    <d v="2024-12-01T00:00:00"/>
    <n v="12"/>
    <s v="December"/>
    <s v="2024"/>
    <x v="2"/>
    <n v="9.420289855072464E-2"/>
    <n v="0.08"/>
  </r>
  <r>
    <x v="0"/>
    <x v="2"/>
    <s v="VTT"/>
    <s v="Medium"/>
    <n v="574.5"/>
    <n v="250"/>
    <n v="350"/>
    <n v="201075"/>
    <n v="16086"/>
    <n v="184989"/>
    <n v="149370"/>
    <n v="35619"/>
    <d v="2024-04-01T00:00:00"/>
    <n v="4"/>
    <s v="April"/>
    <s v="2024"/>
    <x v="13"/>
    <n v="0.19254658385093168"/>
    <n v="0.08"/>
  </r>
  <r>
    <x v="0"/>
    <x v="1"/>
    <s v="VTT"/>
    <s v="Medium"/>
    <n v="2338"/>
    <n v="250"/>
    <n v="7"/>
    <n v="16366"/>
    <n v="1309.28"/>
    <n v="15056.72"/>
    <n v="11690"/>
    <n v="3366.7199999999993"/>
    <d v="2024-06-01T00:00:00"/>
    <n v="6"/>
    <s v="June"/>
    <s v="2024"/>
    <x v="1"/>
    <n v="0.22360248447204967"/>
    <n v="0.08"/>
  </r>
  <r>
    <x v="0"/>
    <x v="2"/>
    <s v="VTT"/>
    <s v="Medium"/>
    <n v="381"/>
    <n v="250"/>
    <n v="350"/>
    <n v="133350"/>
    <n v="10668"/>
    <n v="122682"/>
    <n v="99060"/>
    <n v="23622"/>
    <d v="2024-08-01T00:00:00"/>
    <n v="8"/>
    <s v="August"/>
    <s v="2024"/>
    <x v="5"/>
    <n v="0.19254658385093168"/>
    <n v="0.08"/>
  </r>
  <r>
    <x v="0"/>
    <x v="1"/>
    <s v="VTT"/>
    <s v="Medium"/>
    <n v="422"/>
    <n v="250"/>
    <n v="350"/>
    <n v="147700"/>
    <n v="11816"/>
    <n v="135884"/>
    <n v="109720"/>
    <n v="26164"/>
    <d v="2024-08-01T00:00:00"/>
    <n v="8"/>
    <s v="August"/>
    <s v="2024"/>
    <x v="5"/>
    <n v="0.19254658385093168"/>
    <n v="0.08"/>
  </r>
  <r>
    <x v="4"/>
    <x v="0"/>
    <s v="VTT"/>
    <s v="Medium"/>
    <n v="2134"/>
    <n v="250"/>
    <n v="300"/>
    <n v="640200"/>
    <n v="51216"/>
    <n v="588984"/>
    <n v="533500"/>
    <n v="55484"/>
    <d v="2024-09-01T00:00:00"/>
    <n v="9"/>
    <s v="September"/>
    <s v="2024"/>
    <x v="6"/>
    <n v="9.420289855072464E-2"/>
    <n v="0.08"/>
  </r>
  <r>
    <x v="4"/>
    <x v="4"/>
    <s v="VTT"/>
    <s v="Medium"/>
    <n v="808"/>
    <n v="250"/>
    <n v="300"/>
    <n v="242400"/>
    <n v="19392"/>
    <n v="223008"/>
    <n v="202000"/>
    <n v="21008"/>
    <d v="2023-12-01T00:00:00"/>
    <n v="12"/>
    <s v="December"/>
    <s v="2023"/>
    <x v="12"/>
    <n v="9.420289855072464E-2"/>
    <n v="0.08"/>
  </r>
  <r>
    <x v="0"/>
    <x v="0"/>
    <s v="Amarilla"/>
    <s v="Medium"/>
    <n v="708"/>
    <n v="260"/>
    <n v="20"/>
    <n v="14160"/>
    <n v="1132.8"/>
    <n v="13027.2"/>
    <n v="7080"/>
    <n v="5947.2000000000007"/>
    <d v="2024-06-01T00:00:00"/>
    <n v="6"/>
    <s v="June"/>
    <s v="2024"/>
    <x v="1"/>
    <n v="0.45652173913043481"/>
    <n v="0.08"/>
  </r>
  <r>
    <x v="0"/>
    <x v="4"/>
    <s v="Amarilla"/>
    <s v="Medium"/>
    <n v="2907"/>
    <n v="260"/>
    <n v="7"/>
    <n v="20349"/>
    <n v="1627.92"/>
    <n v="18721.080000000002"/>
    <n v="14535"/>
    <n v="4186.0800000000017"/>
    <d v="2024-06-01T00:00:00"/>
    <n v="6"/>
    <s v="June"/>
    <s v="2024"/>
    <x v="1"/>
    <n v="0.22360248447204975"/>
    <n v="0.08"/>
  </r>
  <r>
    <x v="0"/>
    <x v="1"/>
    <s v="Amarilla"/>
    <s v="Medium"/>
    <n v="1366"/>
    <n v="260"/>
    <n v="20"/>
    <n v="27320"/>
    <n v="2185.6"/>
    <n v="25134.400000000001"/>
    <n v="13660"/>
    <n v="11474.400000000001"/>
    <d v="2024-06-01T00:00:00"/>
    <n v="6"/>
    <s v="June"/>
    <s v="2024"/>
    <x v="1"/>
    <n v="0.45652173913043481"/>
    <n v="0.08"/>
  </r>
  <r>
    <x v="4"/>
    <x v="3"/>
    <s v="Amarilla"/>
    <s v="Medium"/>
    <n v="2460"/>
    <n v="260"/>
    <n v="300"/>
    <n v="738000"/>
    <n v="59040"/>
    <n v="678960"/>
    <n v="615000"/>
    <n v="63960"/>
    <d v="2024-06-01T00:00:00"/>
    <n v="6"/>
    <s v="June"/>
    <s v="2024"/>
    <x v="1"/>
    <n v="9.420289855072464E-2"/>
    <n v="0.08"/>
  </r>
  <r>
    <x v="0"/>
    <x v="1"/>
    <s v="Amarilla"/>
    <s v="Medium"/>
    <n v="1520"/>
    <n v="260"/>
    <n v="20"/>
    <n v="30400"/>
    <n v="2432"/>
    <n v="27968"/>
    <n v="15200"/>
    <n v="12768"/>
    <d v="2024-11-01T00:00:00"/>
    <n v="11"/>
    <s v="November"/>
    <s v="2024"/>
    <x v="15"/>
    <n v="0.45652173913043476"/>
    <n v="0.08"/>
  </r>
  <r>
    <x v="1"/>
    <x v="1"/>
    <s v="Amarilla"/>
    <s v="Medium"/>
    <n v="711"/>
    <n v="260"/>
    <n v="15"/>
    <n v="10665"/>
    <n v="853.2"/>
    <n v="9811.7999999999993"/>
    <n v="7110"/>
    <n v="2701.7999999999993"/>
    <d v="2024-12-01T00:00:00"/>
    <n v="12"/>
    <s v="December"/>
    <s v="2024"/>
    <x v="2"/>
    <n v="0.27536231884057966"/>
    <n v="0.08"/>
  </r>
  <r>
    <x v="2"/>
    <x v="3"/>
    <s v="Amarilla"/>
    <s v="Medium"/>
    <n v="1375"/>
    <n v="260"/>
    <n v="12"/>
    <n v="16500"/>
    <n v="1320"/>
    <n v="15180"/>
    <n v="4125"/>
    <n v="11055"/>
    <d v="2023-12-01T00:00:00"/>
    <n v="12"/>
    <s v="December"/>
    <s v="2023"/>
    <x v="12"/>
    <n v="0.72826086956521741"/>
    <n v="0.08"/>
  </r>
  <r>
    <x v="4"/>
    <x v="3"/>
    <s v="Amarilla"/>
    <s v="Medium"/>
    <n v="635"/>
    <n v="260"/>
    <n v="300"/>
    <n v="190500"/>
    <n v="15240"/>
    <n v="175260"/>
    <n v="158750"/>
    <n v="16510"/>
    <d v="2024-12-01T00:00:00"/>
    <n v="12"/>
    <s v="December"/>
    <s v="2024"/>
    <x v="2"/>
    <n v="9.420289855072464E-2"/>
    <n v="0.08"/>
  </r>
  <r>
    <x v="0"/>
    <x v="4"/>
    <s v="VTT"/>
    <s v="Medium"/>
    <n v="436.5"/>
    <n v="250"/>
    <n v="20"/>
    <n v="8730"/>
    <n v="698.40000000000009"/>
    <n v="8031.5999999999995"/>
    <n v="4365"/>
    <n v="3666.5999999999995"/>
    <d v="2024-07-01T00:00:00"/>
    <n v="7"/>
    <s v="July"/>
    <s v="2024"/>
    <x v="4"/>
    <n v="0.45652173913043476"/>
    <n v="8.0000000000000016E-2"/>
  </r>
  <r>
    <x v="4"/>
    <x v="0"/>
    <s v="Carretera"/>
    <s v="Medium"/>
    <n v="1094"/>
    <n v="3"/>
    <n v="300"/>
    <n v="328200"/>
    <n v="29538"/>
    <n v="298662"/>
    <n v="273500"/>
    <n v="25162"/>
    <d v="2024-06-01T00:00:00"/>
    <n v="6"/>
    <s v="June"/>
    <s v="2024"/>
    <x v="1"/>
    <n v="8.4249084249084255E-2"/>
    <n v="0.09"/>
  </r>
  <r>
    <x v="2"/>
    <x v="3"/>
    <s v="Carretera"/>
    <s v="Medium"/>
    <n v="367"/>
    <n v="3"/>
    <n v="12"/>
    <n v="4404"/>
    <n v="396.36"/>
    <n v="4007.64"/>
    <n v="1101"/>
    <n v="2906.64"/>
    <d v="2023-10-01T00:00:00"/>
    <n v="10"/>
    <s v="October"/>
    <s v="2023"/>
    <x v="7"/>
    <n v="0.72527472527472525"/>
    <n v="0.09"/>
  </r>
  <r>
    <x v="4"/>
    <x v="0"/>
    <s v="Montana"/>
    <s v="Medium"/>
    <n v="3802.5"/>
    <n v="5"/>
    <n v="300"/>
    <n v="1140750"/>
    <n v="102667.5"/>
    <n v="1038082.5"/>
    <n v="950625"/>
    <n v="87457.5"/>
    <d v="2024-04-01T00:00:00"/>
    <n v="4"/>
    <s v="April"/>
    <s v="2024"/>
    <x v="13"/>
    <n v="8.4249084249084255E-2"/>
    <n v="0.09"/>
  </r>
  <r>
    <x v="0"/>
    <x v="2"/>
    <s v="Montana"/>
    <s v="Medium"/>
    <n v="1666"/>
    <n v="5"/>
    <n v="350"/>
    <n v="583100"/>
    <n v="52479"/>
    <n v="530621"/>
    <n v="433160"/>
    <n v="97461"/>
    <d v="2024-05-01T00:00:00"/>
    <n v="5"/>
    <s v="May"/>
    <s v="2024"/>
    <x v="14"/>
    <n v="0.18367346938775511"/>
    <n v="0.09"/>
  </r>
  <r>
    <x v="4"/>
    <x v="2"/>
    <s v="Montana"/>
    <s v="Medium"/>
    <n v="322"/>
    <n v="5"/>
    <n v="300"/>
    <n v="96600"/>
    <n v="8694"/>
    <n v="87906"/>
    <n v="80500"/>
    <n v="7406"/>
    <d v="2023-09-01T00:00:00"/>
    <n v="9"/>
    <s v="September"/>
    <s v="2023"/>
    <x v="9"/>
    <n v="8.4249084249084255E-2"/>
    <n v="0.09"/>
  </r>
  <r>
    <x v="2"/>
    <x v="0"/>
    <s v="Montana"/>
    <s v="Medium"/>
    <n v="2321"/>
    <n v="5"/>
    <n v="12"/>
    <n v="27852"/>
    <n v="2506.6799999999998"/>
    <n v="25345.32"/>
    <n v="6963"/>
    <n v="18382.32"/>
    <d v="2024-11-01T00:00:00"/>
    <n v="11"/>
    <s v="November"/>
    <s v="2024"/>
    <x v="15"/>
    <n v="0.72527472527472525"/>
    <n v="0.09"/>
  </r>
  <r>
    <x v="3"/>
    <x v="2"/>
    <s v="Montana"/>
    <s v="Medium"/>
    <n v="1857"/>
    <n v="5"/>
    <n v="125"/>
    <n v="232125"/>
    <n v="20891.25"/>
    <n v="211233.75"/>
    <n v="222840"/>
    <n v="-11606.25"/>
    <d v="2023-11-01T00:00:00"/>
    <n v="11"/>
    <s v="November"/>
    <s v="2023"/>
    <x v="11"/>
    <n v="-5.4945054945054944E-2"/>
    <n v="0.09"/>
  </r>
  <r>
    <x v="0"/>
    <x v="0"/>
    <s v="Montana"/>
    <s v="Medium"/>
    <n v="1611"/>
    <n v="5"/>
    <n v="7"/>
    <n v="11277"/>
    <n v="1014.93"/>
    <n v="10262.07"/>
    <n v="8055"/>
    <n v="2207.0699999999997"/>
    <d v="2023-12-01T00:00:00"/>
    <n v="12"/>
    <s v="December"/>
    <s v="2023"/>
    <x v="12"/>
    <n v="0.21507064364207218"/>
    <n v="0.09"/>
  </r>
  <r>
    <x v="3"/>
    <x v="4"/>
    <s v="Montana"/>
    <s v="Medium"/>
    <n v="2797"/>
    <n v="5"/>
    <n v="125"/>
    <n v="349625"/>
    <n v="31466.25"/>
    <n v="318158.75"/>
    <n v="335640"/>
    <n v="-17481.25"/>
    <d v="2024-12-01T00:00:00"/>
    <n v="12"/>
    <s v="December"/>
    <s v="2024"/>
    <x v="2"/>
    <n v="-5.4945054945054944E-2"/>
    <n v="0.09"/>
  </r>
  <r>
    <x v="4"/>
    <x v="1"/>
    <s v="Montana"/>
    <s v="Medium"/>
    <n v="334"/>
    <n v="5"/>
    <n v="300"/>
    <n v="100200"/>
    <n v="9018"/>
    <n v="91182"/>
    <n v="83500"/>
    <n v="7682"/>
    <d v="2023-12-01T00:00:00"/>
    <n v="12"/>
    <s v="December"/>
    <s v="2023"/>
    <x v="12"/>
    <n v="8.4249084249084255E-2"/>
    <n v="0.09"/>
  </r>
  <r>
    <x v="4"/>
    <x v="3"/>
    <s v="Paseo"/>
    <s v="Medium"/>
    <n v="2565"/>
    <n v="10"/>
    <n v="300"/>
    <n v="769500"/>
    <n v="69255"/>
    <n v="700245"/>
    <n v="641250"/>
    <n v="58995"/>
    <d v="2024-01-01T00:00:00"/>
    <n v="1"/>
    <s v="January"/>
    <s v="2024"/>
    <x v="0"/>
    <n v="8.4249084249084255E-2"/>
    <n v="0.09"/>
  </r>
  <r>
    <x v="0"/>
    <x v="3"/>
    <s v="Paseo"/>
    <s v="Medium"/>
    <n v="2417"/>
    <n v="10"/>
    <n v="350"/>
    <n v="845950"/>
    <n v="76135.5"/>
    <n v="769814.5"/>
    <n v="628420"/>
    <n v="141394.5"/>
    <d v="2024-01-01T00:00:00"/>
    <n v="1"/>
    <s v="January"/>
    <s v="2024"/>
    <x v="0"/>
    <n v="0.18367346938775511"/>
    <n v="0.09"/>
  </r>
  <r>
    <x v="1"/>
    <x v="4"/>
    <s v="Paseo"/>
    <s v="Medium"/>
    <n v="3675"/>
    <n v="10"/>
    <n v="15"/>
    <n v="55125"/>
    <n v="4961.25"/>
    <n v="50163.75"/>
    <n v="36750"/>
    <n v="13413.75"/>
    <d v="2024-04-01T00:00:00"/>
    <n v="4"/>
    <s v="April"/>
    <s v="2024"/>
    <x v="13"/>
    <n v="0.26739926739926739"/>
    <n v="0.09"/>
  </r>
  <r>
    <x v="4"/>
    <x v="0"/>
    <s v="Paseo"/>
    <s v="Medium"/>
    <n v="1094"/>
    <n v="10"/>
    <n v="300"/>
    <n v="328200"/>
    <n v="29538"/>
    <n v="298662"/>
    <n v="273500"/>
    <n v="25162"/>
    <d v="2024-06-01T00:00:00"/>
    <n v="6"/>
    <s v="June"/>
    <s v="2024"/>
    <x v="1"/>
    <n v="8.4249084249084255E-2"/>
    <n v="0.09"/>
  </r>
  <r>
    <x v="1"/>
    <x v="2"/>
    <s v="Paseo"/>
    <s v="Medium"/>
    <n v="1227"/>
    <n v="10"/>
    <n v="15"/>
    <n v="18405"/>
    <n v="1656.45"/>
    <n v="16748.55"/>
    <n v="12270"/>
    <n v="4478.5499999999993"/>
    <d v="2024-10-01T00:00:00"/>
    <n v="10"/>
    <s v="October"/>
    <s v="2024"/>
    <x v="10"/>
    <n v="0.26739926739926739"/>
    <n v="0.09"/>
  </r>
  <r>
    <x v="2"/>
    <x v="3"/>
    <s v="Paseo"/>
    <s v="Medium"/>
    <n v="367"/>
    <n v="10"/>
    <n v="12"/>
    <n v="4404"/>
    <n v="396.36"/>
    <n v="4007.64"/>
    <n v="1101"/>
    <n v="2906.64"/>
    <d v="2023-10-01T00:00:00"/>
    <n v="10"/>
    <s v="October"/>
    <s v="2023"/>
    <x v="7"/>
    <n v="0.72527472527472525"/>
    <n v="0.09"/>
  </r>
  <r>
    <x v="4"/>
    <x v="2"/>
    <s v="Paseo"/>
    <s v="Medium"/>
    <n v="1324"/>
    <n v="10"/>
    <n v="300"/>
    <n v="397200"/>
    <n v="35748"/>
    <n v="361452"/>
    <n v="331000"/>
    <n v="30452"/>
    <d v="2024-11-01T00:00:00"/>
    <n v="11"/>
    <s v="November"/>
    <s v="2024"/>
    <x v="15"/>
    <n v="8.4249084249084255E-2"/>
    <n v="0.09"/>
  </r>
  <r>
    <x v="2"/>
    <x v="1"/>
    <s v="Paseo"/>
    <s v="Medium"/>
    <n v="1775"/>
    <n v="10"/>
    <n v="12"/>
    <n v="21300"/>
    <n v="1917"/>
    <n v="19383"/>
    <n v="5325"/>
    <n v="14058"/>
    <d v="2023-11-01T00:00:00"/>
    <n v="11"/>
    <s v="November"/>
    <s v="2023"/>
    <x v="11"/>
    <n v="0.72527472527472525"/>
    <n v="0.09"/>
  </r>
  <r>
    <x v="3"/>
    <x v="4"/>
    <s v="Paseo"/>
    <s v="Medium"/>
    <n v="2797"/>
    <n v="10"/>
    <n v="125"/>
    <n v="349625"/>
    <n v="31466.25"/>
    <n v="318158.75"/>
    <n v="335640"/>
    <n v="-17481.25"/>
    <d v="2024-12-01T00:00:00"/>
    <n v="12"/>
    <s v="December"/>
    <s v="2024"/>
    <x v="2"/>
    <n v="-5.4945054945054944E-2"/>
    <n v="0.09"/>
  </r>
  <r>
    <x v="1"/>
    <x v="3"/>
    <s v="Velo"/>
    <s v="Medium"/>
    <n v="245"/>
    <n v="120"/>
    <n v="15"/>
    <n v="3675"/>
    <n v="330.75"/>
    <n v="3344.25"/>
    <n v="2450"/>
    <n v="894.25"/>
    <d v="2024-05-01T00:00:00"/>
    <n v="5"/>
    <s v="May"/>
    <s v="2024"/>
    <x v="14"/>
    <n v="0.26739926739926739"/>
    <n v="0.09"/>
  </r>
  <r>
    <x v="4"/>
    <x v="0"/>
    <s v="Velo"/>
    <s v="Medium"/>
    <n v="3793.5"/>
    <n v="120"/>
    <n v="300"/>
    <n v="1138050"/>
    <n v="102424.5"/>
    <n v="1035625.5"/>
    <n v="948375"/>
    <n v="87250.5"/>
    <d v="2024-07-01T00:00:00"/>
    <n v="7"/>
    <s v="July"/>
    <s v="2024"/>
    <x v="4"/>
    <n v="8.4249084249084255E-2"/>
    <n v="0.09"/>
  </r>
  <r>
    <x v="0"/>
    <x v="1"/>
    <s v="Velo"/>
    <s v="Medium"/>
    <n v="1307"/>
    <n v="120"/>
    <n v="350"/>
    <n v="457450"/>
    <n v="41170.5"/>
    <n v="416279.5"/>
    <n v="339820"/>
    <n v="76459.5"/>
    <d v="2024-07-01T00:00:00"/>
    <n v="7"/>
    <s v="July"/>
    <s v="2024"/>
    <x v="4"/>
    <n v="0.18367346938775511"/>
    <n v="0.09"/>
  </r>
  <r>
    <x v="3"/>
    <x v="0"/>
    <s v="Velo"/>
    <s v="Medium"/>
    <n v="567"/>
    <n v="120"/>
    <n v="125"/>
    <n v="70875"/>
    <n v="6378.75"/>
    <n v="64496.25"/>
    <n v="68040"/>
    <n v="-3543.75"/>
    <d v="2024-09-01T00:00:00"/>
    <n v="9"/>
    <s v="September"/>
    <s v="2024"/>
    <x v="6"/>
    <n v="-5.4945054945054944E-2"/>
    <n v="0.09"/>
  </r>
  <r>
    <x v="3"/>
    <x v="3"/>
    <s v="Velo"/>
    <s v="Medium"/>
    <n v="2110"/>
    <n v="120"/>
    <n v="125"/>
    <n v="263750"/>
    <n v="23737.5"/>
    <n v="240012.5"/>
    <n v="253200"/>
    <n v="-13187.5"/>
    <d v="2024-09-01T00:00:00"/>
    <n v="9"/>
    <s v="September"/>
    <s v="2024"/>
    <x v="6"/>
    <n v="-5.4945054945054944E-2"/>
    <n v="0.09"/>
  </r>
  <r>
    <x v="0"/>
    <x v="0"/>
    <s v="Velo"/>
    <s v="Medium"/>
    <n v="1269"/>
    <n v="120"/>
    <n v="350"/>
    <n v="444150"/>
    <n v="39973.5"/>
    <n v="404176.5"/>
    <n v="329940"/>
    <n v="74236.5"/>
    <d v="2024-10-01T00:00:00"/>
    <n v="10"/>
    <s v="October"/>
    <s v="2024"/>
    <x v="10"/>
    <n v="0.18367346938775511"/>
    <n v="0.09"/>
  </r>
  <r>
    <x v="2"/>
    <x v="4"/>
    <s v="VTT"/>
    <s v="Medium"/>
    <n v="1956"/>
    <n v="250"/>
    <n v="12"/>
    <n v="23472"/>
    <n v="2112.48"/>
    <n v="21359.52"/>
    <n v="5868"/>
    <n v="15491.52"/>
    <d v="2024-01-01T00:00:00"/>
    <n v="1"/>
    <s v="January"/>
    <s v="2024"/>
    <x v="0"/>
    <n v="0.72527472527472525"/>
    <n v="0.09"/>
  </r>
  <r>
    <x v="4"/>
    <x v="1"/>
    <s v="VTT"/>
    <s v="Medium"/>
    <n v="2659"/>
    <n v="250"/>
    <n v="300"/>
    <n v="797700"/>
    <n v="71793"/>
    <n v="725907"/>
    <n v="664750"/>
    <n v="61157"/>
    <d v="2024-02-01T00:00:00"/>
    <n v="2"/>
    <s v="February"/>
    <s v="2024"/>
    <x v="8"/>
    <n v="8.4249084249084255E-2"/>
    <n v="0.09"/>
  </r>
  <r>
    <x v="0"/>
    <x v="4"/>
    <s v="VTT"/>
    <s v="Medium"/>
    <n v="1351.5"/>
    <n v="250"/>
    <n v="350"/>
    <n v="473025"/>
    <n v="42572.25"/>
    <n v="430452.75"/>
    <n v="351390"/>
    <n v="79062.75"/>
    <d v="2024-04-01T00:00:00"/>
    <n v="4"/>
    <s v="April"/>
    <s v="2024"/>
    <x v="13"/>
    <n v="0.18367346938775511"/>
    <n v="0.09"/>
  </r>
  <r>
    <x v="2"/>
    <x v="1"/>
    <s v="VTT"/>
    <s v="Medium"/>
    <n v="880"/>
    <n v="250"/>
    <n v="12"/>
    <n v="10560"/>
    <n v="950.4"/>
    <n v="9609.6"/>
    <n v="2640"/>
    <n v="6969.6"/>
    <d v="2024-05-01T00:00:00"/>
    <n v="5"/>
    <s v="May"/>
    <s v="2024"/>
    <x v="14"/>
    <n v="0.72527472527472525"/>
    <n v="0.09"/>
  </r>
  <r>
    <x v="4"/>
    <x v="4"/>
    <s v="VTT"/>
    <s v="Medium"/>
    <n v="1867"/>
    <n v="250"/>
    <n v="300"/>
    <n v="560100"/>
    <n v="50409"/>
    <n v="509691"/>
    <n v="466750"/>
    <n v="42941"/>
    <d v="2024-09-01T00:00:00"/>
    <n v="9"/>
    <s v="September"/>
    <s v="2024"/>
    <x v="6"/>
    <n v="8.4249084249084255E-2"/>
    <n v="0.09"/>
  </r>
  <r>
    <x v="2"/>
    <x v="2"/>
    <s v="VTT"/>
    <s v="Medium"/>
    <n v="2234"/>
    <n v="250"/>
    <n v="12"/>
    <n v="26808"/>
    <n v="2412.7199999999998"/>
    <n v="24395.279999999999"/>
    <n v="6702"/>
    <n v="17693.28"/>
    <d v="2023-09-01T00:00:00"/>
    <n v="9"/>
    <s v="September"/>
    <s v="2023"/>
    <x v="9"/>
    <n v="0.72527472527472525"/>
    <n v="0.09"/>
  </r>
  <r>
    <x v="1"/>
    <x v="2"/>
    <s v="VTT"/>
    <s v="Medium"/>
    <n v="1227"/>
    <n v="250"/>
    <n v="15"/>
    <n v="18405"/>
    <n v="1656.45"/>
    <n v="16748.55"/>
    <n v="12270"/>
    <n v="4478.5499999999993"/>
    <d v="2024-10-01T00:00:00"/>
    <n v="10"/>
    <s v="October"/>
    <s v="2024"/>
    <x v="10"/>
    <n v="0.26739926739926739"/>
    <n v="0.09"/>
  </r>
  <r>
    <x v="3"/>
    <x v="3"/>
    <s v="VTT"/>
    <s v="Medium"/>
    <n v="877"/>
    <n v="250"/>
    <n v="125"/>
    <n v="109625"/>
    <n v="9866.25"/>
    <n v="99758.75"/>
    <n v="105240"/>
    <n v="-5481.25"/>
    <d v="2024-11-01T00:00:00"/>
    <n v="11"/>
    <s v="November"/>
    <s v="2024"/>
    <x v="15"/>
    <n v="-5.4945054945054944E-2"/>
    <n v="0.09"/>
  </r>
  <r>
    <x v="0"/>
    <x v="4"/>
    <s v="Amarilla"/>
    <s v="Medium"/>
    <n v="2071"/>
    <n v="260"/>
    <n v="350"/>
    <n v="724850"/>
    <n v="65236.5"/>
    <n v="659613.5"/>
    <n v="538460"/>
    <n v="121153.5"/>
    <d v="2024-09-01T00:00:00"/>
    <n v="9"/>
    <s v="September"/>
    <s v="2024"/>
    <x v="6"/>
    <n v="0.18367346938775511"/>
    <n v="0.09"/>
  </r>
  <r>
    <x v="0"/>
    <x v="0"/>
    <s v="Amarilla"/>
    <s v="Medium"/>
    <n v="1269"/>
    <n v="260"/>
    <n v="350"/>
    <n v="444150"/>
    <n v="39973.5"/>
    <n v="404176.5"/>
    <n v="329940"/>
    <n v="74236.5"/>
    <d v="2024-10-01T00:00:00"/>
    <n v="10"/>
    <s v="October"/>
    <s v="2024"/>
    <x v="10"/>
    <n v="0.18367346938775511"/>
    <n v="0.09"/>
  </r>
  <r>
    <x v="1"/>
    <x v="1"/>
    <s v="Amarilla"/>
    <s v="Medium"/>
    <n v="970"/>
    <n v="260"/>
    <n v="15"/>
    <n v="14550"/>
    <n v="1309.5"/>
    <n v="13240.5"/>
    <n v="9700"/>
    <n v="3540.5"/>
    <d v="2023-11-01T00:00:00"/>
    <n v="11"/>
    <s v="November"/>
    <s v="2023"/>
    <x v="11"/>
    <n v="0.26739926739926739"/>
    <n v="0.09"/>
  </r>
  <r>
    <x v="0"/>
    <x v="3"/>
    <s v="Amarilla"/>
    <s v="Medium"/>
    <n v="1694"/>
    <n v="260"/>
    <n v="20"/>
    <n v="33880"/>
    <n v="3049.2"/>
    <n v="30830.799999999999"/>
    <n v="16940"/>
    <n v="13890.8"/>
    <d v="2024-11-01T00:00:00"/>
    <n v="11"/>
    <s v="November"/>
    <s v="2024"/>
    <x v="15"/>
    <n v="0.45054945054945056"/>
    <n v="0.09"/>
  </r>
  <r>
    <x v="0"/>
    <x v="1"/>
    <s v="Carretera"/>
    <s v="Medium"/>
    <n v="663"/>
    <n v="3"/>
    <n v="20"/>
    <n v="13260"/>
    <n v="1193.4000000000001"/>
    <n v="12066.6"/>
    <n v="6630"/>
    <n v="5436.6"/>
    <d v="2024-05-01T00:00:00"/>
    <n v="5"/>
    <s v="May"/>
    <s v="2024"/>
    <x v="14"/>
    <n v="0.45054945054945056"/>
    <n v="9.0000000000000011E-2"/>
  </r>
  <r>
    <x v="0"/>
    <x v="0"/>
    <s v="Carretera"/>
    <s v="Medium"/>
    <n v="819"/>
    <n v="3"/>
    <n v="7"/>
    <n v="5733"/>
    <n v="515.97"/>
    <n v="5217.03"/>
    <n v="4095"/>
    <n v="1122.03"/>
    <d v="2024-07-01T00:00:00"/>
    <n v="7"/>
    <s v="July"/>
    <s v="2024"/>
    <x v="4"/>
    <n v="0.21507064364207221"/>
    <n v="9.0000000000000011E-2"/>
  </r>
  <r>
    <x v="2"/>
    <x v="1"/>
    <s v="Carretera"/>
    <s v="Medium"/>
    <n v="1580"/>
    <n v="3"/>
    <n v="12"/>
    <n v="18960"/>
    <n v="1706.4"/>
    <n v="17253.599999999999"/>
    <n v="4740"/>
    <n v="12513.599999999999"/>
    <d v="2024-09-01T00:00:00"/>
    <n v="9"/>
    <s v="September"/>
    <s v="2024"/>
    <x v="6"/>
    <n v="0.72527472527472525"/>
    <n v="9.0000000000000011E-2"/>
  </r>
  <r>
    <x v="0"/>
    <x v="3"/>
    <s v="Carretera"/>
    <s v="Medium"/>
    <n v="521"/>
    <n v="3"/>
    <n v="7"/>
    <n v="3647"/>
    <n v="328.23"/>
    <n v="3318.77"/>
    <n v="2605"/>
    <n v="713.77"/>
    <d v="2024-12-01T00:00:00"/>
    <n v="12"/>
    <s v="December"/>
    <s v="2024"/>
    <x v="2"/>
    <n v="0.21507064364207221"/>
    <n v="9.0000000000000011E-2"/>
  </r>
  <r>
    <x v="0"/>
    <x v="4"/>
    <s v="Paseo"/>
    <s v="Medium"/>
    <n v="973"/>
    <n v="10"/>
    <n v="20"/>
    <n v="19460"/>
    <n v="1751.4"/>
    <n v="17708.599999999999"/>
    <n v="9730"/>
    <n v="7978.5999999999985"/>
    <d v="2024-03-01T00:00:00"/>
    <n v="3"/>
    <s v="March"/>
    <s v="2024"/>
    <x v="3"/>
    <n v="0.4505494505494505"/>
    <n v="9.0000000000000011E-2"/>
  </r>
  <r>
    <x v="0"/>
    <x v="3"/>
    <s v="Paseo"/>
    <s v="Medium"/>
    <n v="1038"/>
    <n v="10"/>
    <n v="20"/>
    <n v="20760"/>
    <n v="1868.4"/>
    <n v="18891.599999999999"/>
    <n v="10380"/>
    <n v="8511.5999999999985"/>
    <d v="2024-06-01T00:00:00"/>
    <n v="6"/>
    <s v="June"/>
    <s v="2024"/>
    <x v="1"/>
    <n v="0.4505494505494505"/>
    <n v="9.0000000000000011E-2"/>
  </r>
  <r>
    <x v="0"/>
    <x v="1"/>
    <s v="Paseo"/>
    <s v="Medium"/>
    <n v="360"/>
    <n v="10"/>
    <n v="7"/>
    <n v="2520"/>
    <n v="226.8"/>
    <n v="2293.1999999999998"/>
    <n v="1800"/>
    <n v="493.19999999999982"/>
    <d v="2024-10-01T00:00:00"/>
    <n v="10"/>
    <s v="October"/>
    <s v="2024"/>
    <x v="10"/>
    <n v="0.21507064364207215"/>
    <n v="9.0000000000000011E-2"/>
  </r>
  <r>
    <x v="2"/>
    <x v="2"/>
    <s v="Velo"/>
    <s v="Medium"/>
    <n v="1967"/>
    <n v="120"/>
    <n v="12"/>
    <n v="23604"/>
    <n v="2124.36"/>
    <n v="21479.64"/>
    <n v="5901"/>
    <n v="15578.64"/>
    <d v="2024-03-01T00:00:00"/>
    <n v="3"/>
    <s v="March"/>
    <s v="2024"/>
    <x v="3"/>
    <n v="0.72527472527472525"/>
    <n v="9.0000000000000011E-2"/>
  </r>
  <r>
    <x v="1"/>
    <x v="3"/>
    <s v="Velo"/>
    <s v="Medium"/>
    <n v="2628"/>
    <n v="120"/>
    <n v="15"/>
    <n v="39420"/>
    <n v="3547.8"/>
    <n v="35872.199999999997"/>
    <n v="26280"/>
    <n v="9592.1999999999971"/>
    <d v="2024-04-01T00:00:00"/>
    <n v="4"/>
    <s v="April"/>
    <s v="2024"/>
    <x v="13"/>
    <n v="0.26739926739926734"/>
    <n v="9.0000000000000011E-2"/>
  </r>
  <r>
    <x v="0"/>
    <x v="1"/>
    <s v="VTT"/>
    <s v="Medium"/>
    <n v="360"/>
    <n v="250"/>
    <n v="7"/>
    <n v="2520"/>
    <n v="226.8"/>
    <n v="2293.1999999999998"/>
    <n v="1800"/>
    <n v="493.19999999999982"/>
    <d v="2024-10-01T00:00:00"/>
    <n v="10"/>
    <s v="October"/>
    <s v="2024"/>
    <x v="10"/>
    <n v="0.21507064364207215"/>
    <n v="9.0000000000000011E-2"/>
  </r>
  <r>
    <x v="0"/>
    <x v="2"/>
    <s v="VTT"/>
    <s v="Medium"/>
    <n v="2682"/>
    <n v="250"/>
    <n v="20"/>
    <n v="53640"/>
    <n v="4827.6000000000004"/>
    <n v="48812.4"/>
    <n v="26820"/>
    <n v="21992.400000000001"/>
    <d v="2023-11-01T00:00:00"/>
    <n v="11"/>
    <s v="November"/>
    <s v="2023"/>
    <x v="11"/>
    <n v="0.45054945054945056"/>
    <n v="9.0000000000000011E-2"/>
  </r>
  <r>
    <x v="0"/>
    <x v="3"/>
    <s v="VTT"/>
    <s v="Medium"/>
    <n v="521"/>
    <n v="250"/>
    <n v="7"/>
    <n v="3647"/>
    <n v="328.23"/>
    <n v="3318.77"/>
    <n v="2605"/>
    <n v="713.77"/>
    <d v="2024-12-01T00:00:00"/>
    <n v="12"/>
    <s v="December"/>
    <s v="2024"/>
    <x v="2"/>
    <n v="0.21507064364207221"/>
    <n v="9.0000000000000011E-2"/>
  </r>
  <r>
    <x v="0"/>
    <x v="3"/>
    <s v="Amarilla"/>
    <s v="Medium"/>
    <n v="1038"/>
    <n v="260"/>
    <n v="20"/>
    <n v="20760"/>
    <n v="1868.4"/>
    <n v="18891.599999999999"/>
    <n v="10380"/>
    <n v="8511.5999999999985"/>
    <d v="2024-06-01T00:00:00"/>
    <n v="6"/>
    <s v="June"/>
    <s v="2024"/>
    <x v="1"/>
    <n v="0.4505494505494505"/>
    <n v="9.0000000000000011E-2"/>
  </r>
  <r>
    <x v="1"/>
    <x v="0"/>
    <s v="Amarilla"/>
    <s v="Medium"/>
    <n v="1630.5"/>
    <n v="260"/>
    <n v="15"/>
    <n v="24457.5"/>
    <n v="2201.1750000000002"/>
    <n v="22256.324999999997"/>
    <n v="16305"/>
    <n v="5951.3249999999989"/>
    <d v="2024-07-01T00:00:00"/>
    <n v="7"/>
    <s v="July"/>
    <s v="2024"/>
    <x v="4"/>
    <n v="0.26739926739926739"/>
    <n v="9.0000000000000011E-2"/>
  </r>
  <r>
    <x v="2"/>
    <x v="2"/>
    <s v="Amarilla"/>
    <s v="Medium"/>
    <n v="306"/>
    <n v="260"/>
    <n v="12"/>
    <n v="3672"/>
    <n v="330.48"/>
    <n v="3341.52"/>
    <n v="918"/>
    <n v="2423.52"/>
    <d v="2023-12-01T00:00:00"/>
    <n v="12"/>
    <s v="December"/>
    <s v="2023"/>
    <x v="12"/>
    <n v="0.72527472527472525"/>
    <n v="9.0000000000000011E-2"/>
  </r>
  <r>
    <x v="2"/>
    <x v="4"/>
    <s v="Carretera"/>
    <s v="High"/>
    <n v="386"/>
    <n v="3"/>
    <n v="12"/>
    <n v="4632"/>
    <n v="463.2"/>
    <n v="4168.8"/>
    <n v="1158"/>
    <n v="3010.8"/>
    <d v="2023-10-01T00:00:00"/>
    <n v="10"/>
    <s v="October"/>
    <s v="2023"/>
    <x v="7"/>
    <n v="0.72222222222222221"/>
    <n v="9.9999999999999992E-2"/>
  </r>
  <r>
    <x v="0"/>
    <x v="4"/>
    <s v="Montana"/>
    <s v="High"/>
    <n v="2328"/>
    <n v="5"/>
    <n v="7"/>
    <n v="16296"/>
    <n v="1629.6"/>
    <n v="14666.4"/>
    <n v="11640"/>
    <n v="3026.3999999999996"/>
    <d v="2024-09-01T00:00:00"/>
    <n v="9"/>
    <s v="September"/>
    <s v="2024"/>
    <x v="6"/>
    <n v="0.20634920634920634"/>
    <n v="9.9999999999999992E-2"/>
  </r>
  <r>
    <x v="2"/>
    <x v="4"/>
    <s v="Paseo"/>
    <s v="High"/>
    <n v="386"/>
    <n v="10"/>
    <n v="12"/>
    <n v="4632"/>
    <n v="463.2"/>
    <n v="4168.8"/>
    <n v="1158"/>
    <n v="3010.8"/>
    <d v="2023-10-01T00:00:00"/>
    <n v="10"/>
    <s v="October"/>
    <s v="2023"/>
    <x v="7"/>
    <n v="0.72222222222222221"/>
    <n v="9.9999999999999992E-2"/>
  </r>
  <r>
    <x v="3"/>
    <x v="4"/>
    <s v="Carretera"/>
    <s v="High"/>
    <n v="3445.5"/>
    <n v="3"/>
    <n v="125"/>
    <n v="430687.5"/>
    <n v="43068.75"/>
    <n v="387618.75"/>
    <n v="413460"/>
    <n v="-25841.25"/>
    <d v="2024-04-01T00:00:00"/>
    <n v="4"/>
    <s v="April"/>
    <s v="2024"/>
    <x v="13"/>
    <n v="-6.6666666666666666E-2"/>
    <n v="0.1"/>
  </r>
  <r>
    <x v="3"/>
    <x v="2"/>
    <s v="Carretera"/>
    <s v="High"/>
    <n v="1482"/>
    <n v="3"/>
    <n v="125"/>
    <n v="185250"/>
    <n v="18525"/>
    <n v="166725"/>
    <n v="177840"/>
    <n v="-11115"/>
    <d v="2023-12-01T00:00:00"/>
    <n v="12"/>
    <s v="December"/>
    <s v="2023"/>
    <x v="12"/>
    <n v="-6.6666666666666666E-2"/>
    <n v="0.1"/>
  </r>
  <r>
    <x v="0"/>
    <x v="4"/>
    <s v="Montana"/>
    <s v="High"/>
    <n v="2313"/>
    <n v="5"/>
    <n v="350"/>
    <n v="809550"/>
    <n v="80955"/>
    <n v="728595"/>
    <n v="601380"/>
    <n v="127215"/>
    <d v="2024-05-01T00:00:00"/>
    <n v="5"/>
    <s v="May"/>
    <s v="2024"/>
    <x v="14"/>
    <n v="0.17460317460317459"/>
    <n v="0.1"/>
  </r>
  <r>
    <x v="3"/>
    <x v="4"/>
    <s v="Montana"/>
    <s v="High"/>
    <n v="1804"/>
    <n v="5"/>
    <n v="125"/>
    <n v="225500"/>
    <n v="22550"/>
    <n v="202950"/>
    <n v="216480"/>
    <n v="-13530"/>
    <d v="2023-11-01T00:00:00"/>
    <n v="11"/>
    <s v="November"/>
    <s v="2023"/>
    <x v="11"/>
    <n v="-6.6666666666666666E-2"/>
    <n v="0.1"/>
  </r>
  <r>
    <x v="1"/>
    <x v="2"/>
    <s v="Montana"/>
    <s v="High"/>
    <n v="2072"/>
    <n v="5"/>
    <n v="15"/>
    <n v="31080"/>
    <n v="3108"/>
    <n v="27972"/>
    <n v="20720"/>
    <n v="7252"/>
    <d v="2024-12-01T00:00:00"/>
    <n v="12"/>
    <s v="December"/>
    <s v="2024"/>
    <x v="2"/>
    <n v="0.25925925925925924"/>
    <n v="0.1"/>
  </r>
  <r>
    <x v="0"/>
    <x v="2"/>
    <s v="Paseo"/>
    <s v="High"/>
    <n v="1954"/>
    <n v="10"/>
    <n v="20"/>
    <n v="39080"/>
    <n v="3908"/>
    <n v="35172"/>
    <n v="19540"/>
    <n v="15632"/>
    <d v="2024-03-01T00:00:00"/>
    <n v="3"/>
    <s v="March"/>
    <s v="2024"/>
    <x v="3"/>
    <n v="0.44444444444444442"/>
    <n v="0.1"/>
  </r>
  <r>
    <x v="4"/>
    <x v="3"/>
    <s v="Paseo"/>
    <s v="High"/>
    <n v="591"/>
    <n v="10"/>
    <n v="300"/>
    <n v="177300"/>
    <n v="17730"/>
    <n v="159570"/>
    <n v="147750"/>
    <n v="11820"/>
    <d v="2024-05-01T00:00:00"/>
    <n v="5"/>
    <s v="May"/>
    <s v="2024"/>
    <x v="14"/>
    <n v="7.407407407407407E-2"/>
    <n v="0.1"/>
  </r>
  <r>
    <x v="1"/>
    <x v="2"/>
    <s v="Paseo"/>
    <s v="High"/>
    <n v="2167"/>
    <n v="10"/>
    <n v="15"/>
    <n v="32505"/>
    <n v="3250.5"/>
    <n v="29254.5"/>
    <n v="21670"/>
    <n v="7584.5"/>
    <d v="2023-10-01T00:00:00"/>
    <n v="10"/>
    <s v="October"/>
    <s v="2023"/>
    <x v="7"/>
    <n v="0.25925925925925924"/>
    <n v="0.1"/>
  </r>
  <r>
    <x v="0"/>
    <x v="1"/>
    <s v="Paseo"/>
    <s v="High"/>
    <n v="241"/>
    <n v="10"/>
    <n v="20"/>
    <n v="4820"/>
    <n v="482"/>
    <n v="4338"/>
    <n v="2410"/>
    <n v="1928"/>
    <d v="2024-10-01T00:00:00"/>
    <n v="10"/>
    <s v="October"/>
    <s v="2024"/>
    <x v="10"/>
    <n v="0.44444444444444442"/>
    <n v="0.1"/>
  </r>
  <r>
    <x v="1"/>
    <x v="1"/>
    <s v="Velo"/>
    <s v="High"/>
    <n v="681"/>
    <n v="120"/>
    <n v="15"/>
    <n v="10215"/>
    <n v="1021.5"/>
    <n v="9193.5"/>
    <n v="6810"/>
    <n v="2383.5"/>
    <d v="2024-01-01T00:00:00"/>
    <n v="1"/>
    <s v="January"/>
    <s v="2024"/>
    <x v="0"/>
    <n v="0.25925925925925924"/>
    <n v="0.1"/>
  </r>
  <r>
    <x v="1"/>
    <x v="1"/>
    <s v="Velo"/>
    <s v="High"/>
    <n v="510"/>
    <n v="120"/>
    <n v="15"/>
    <n v="7650"/>
    <n v="765"/>
    <n v="6885"/>
    <n v="5100"/>
    <n v="1785"/>
    <d v="2024-04-01T00:00:00"/>
    <n v="4"/>
    <s v="April"/>
    <s v="2024"/>
    <x v="13"/>
    <n v="0.25925925925925924"/>
    <n v="0.1"/>
  </r>
  <r>
    <x v="1"/>
    <x v="4"/>
    <s v="Velo"/>
    <s v="High"/>
    <n v="790"/>
    <n v="120"/>
    <n v="15"/>
    <n v="11850"/>
    <n v="1185"/>
    <n v="10665"/>
    <n v="7900"/>
    <n v="2765"/>
    <d v="2024-05-01T00:00:00"/>
    <n v="5"/>
    <s v="May"/>
    <s v="2024"/>
    <x v="14"/>
    <n v="0.25925925925925924"/>
    <n v="0.1"/>
  </r>
  <r>
    <x v="0"/>
    <x v="2"/>
    <s v="Velo"/>
    <s v="High"/>
    <n v="639"/>
    <n v="120"/>
    <n v="350"/>
    <n v="223650"/>
    <n v="22365"/>
    <n v="201285"/>
    <n v="166140"/>
    <n v="35145"/>
    <d v="2024-07-01T00:00:00"/>
    <n v="7"/>
    <s v="July"/>
    <s v="2024"/>
    <x v="4"/>
    <n v="0.17460317460317459"/>
    <n v="0.1"/>
  </r>
  <r>
    <x v="3"/>
    <x v="4"/>
    <s v="Velo"/>
    <s v="High"/>
    <n v="1596"/>
    <n v="120"/>
    <n v="125"/>
    <n v="199500"/>
    <n v="19950"/>
    <n v="179550"/>
    <n v="191520"/>
    <n v="-11970"/>
    <d v="2024-09-01T00:00:00"/>
    <n v="9"/>
    <s v="September"/>
    <s v="2024"/>
    <x v="6"/>
    <n v="-6.6666666666666666E-2"/>
    <n v="0.1"/>
  </r>
  <r>
    <x v="4"/>
    <x v="4"/>
    <s v="Velo"/>
    <s v="High"/>
    <n v="2294"/>
    <n v="120"/>
    <n v="300"/>
    <n v="688200"/>
    <n v="68820"/>
    <n v="619380"/>
    <n v="573500"/>
    <n v="45880"/>
    <d v="2023-10-01T00:00:00"/>
    <n v="10"/>
    <s v="October"/>
    <s v="2023"/>
    <x v="7"/>
    <n v="7.407407407407407E-2"/>
    <n v="0.1"/>
  </r>
  <r>
    <x v="0"/>
    <x v="1"/>
    <s v="Velo"/>
    <s v="High"/>
    <n v="241"/>
    <n v="120"/>
    <n v="20"/>
    <n v="4820"/>
    <n v="482"/>
    <n v="4338"/>
    <n v="2410"/>
    <n v="1928"/>
    <d v="2024-10-01T00:00:00"/>
    <n v="10"/>
    <s v="October"/>
    <s v="2024"/>
    <x v="10"/>
    <n v="0.44444444444444442"/>
    <n v="0.1"/>
  </r>
  <r>
    <x v="0"/>
    <x v="1"/>
    <s v="Velo"/>
    <s v="High"/>
    <n v="2665"/>
    <n v="120"/>
    <n v="7"/>
    <n v="18655"/>
    <n v="1865.5"/>
    <n v="16789.5"/>
    <n v="13325"/>
    <n v="3464.5"/>
    <d v="2024-11-01T00:00:00"/>
    <n v="11"/>
    <s v="November"/>
    <s v="2024"/>
    <x v="15"/>
    <n v="0.20634920634920634"/>
    <n v="0.1"/>
  </r>
  <r>
    <x v="3"/>
    <x v="0"/>
    <s v="Velo"/>
    <s v="High"/>
    <n v="1916"/>
    <n v="120"/>
    <n v="125"/>
    <n v="239500"/>
    <n v="23950"/>
    <n v="215550"/>
    <n v="229920"/>
    <n v="-14370"/>
    <d v="2023-12-01T00:00:00"/>
    <n v="12"/>
    <s v="December"/>
    <s v="2023"/>
    <x v="12"/>
    <n v="-6.6666666666666666E-2"/>
    <n v="0.1"/>
  </r>
  <r>
    <x v="4"/>
    <x v="2"/>
    <s v="Velo"/>
    <s v="High"/>
    <n v="853"/>
    <n v="120"/>
    <n v="300"/>
    <n v="255900"/>
    <n v="25590"/>
    <n v="230310"/>
    <n v="213250"/>
    <n v="17060"/>
    <d v="2024-12-01T00:00:00"/>
    <n v="12"/>
    <s v="December"/>
    <s v="2024"/>
    <x v="2"/>
    <n v="7.407407407407407E-2"/>
    <n v="0.1"/>
  </r>
  <r>
    <x v="3"/>
    <x v="3"/>
    <s v="VTT"/>
    <s v="High"/>
    <n v="341"/>
    <n v="250"/>
    <n v="125"/>
    <n v="42625"/>
    <n v="4262.5"/>
    <n v="38362.5"/>
    <n v="40920"/>
    <n v="-2557.5"/>
    <d v="2024-05-01T00:00:00"/>
    <n v="5"/>
    <s v="May"/>
    <s v="2024"/>
    <x v="14"/>
    <n v="-6.6666666666666666E-2"/>
    <n v="0.1"/>
  </r>
  <r>
    <x v="1"/>
    <x v="3"/>
    <s v="VTT"/>
    <s v="High"/>
    <n v="641"/>
    <n v="250"/>
    <n v="15"/>
    <n v="9615"/>
    <n v="961.5"/>
    <n v="8653.5"/>
    <n v="6410"/>
    <n v="2243.5"/>
    <d v="2024-07-01T00:00:00"/>
    <n v="7"/>
    <s v="July"/>
    <s v="2024"/>
    <x v="4"/>
    <n v="0.25925925925925924"/>
    <n v="0.1"/>
  </r>
  <r>
    <x v="0"/>
    <x v="4"/>
    <s v="VTT"/>
    <s v="High"/>
    <n v="2807"/>
    <n v="250"/>
    <n v="350"/>
    <n v="982450"/>
    <n v="98245"/>
    <n v="884205"/>
    <n v="729820"/>
    <n v="154385"/>
    <d v="2024-08-01T00:00:00"/>
    <n v="8"/>
    <s v="August"/>
    <s v="2024"/>
    <x v="5"/>
    <n v="0.17460317460317459"/>
    <n v="0.1"/>
  </r>
  <r>
    <x v="4"/>
    <x v="3"/>
    <s v="VTT"/>
    <s v="High"/>
    <n v="432"/>
    <n v="250"/>
    <n v="300"/>
    <n v="129600"/>
    <n v="12960"/>
    <n v="116640"/>
    <n v="108000"/>
    <n v="8640"/>
    <d v="2024-09-01T00:00:00"/>
    <n v="9"/>
    <s v="September"/>
    <s v="2024"/>
    <x v="6"/>
    <n v="7.407407407407407E-2"/>
    <n v="0.1"/>
  </r>
  <r>
    <x v="4"/>
    <x v="4"/>
    <s v="VTT"/>
    <s v="High"/>
    <n v="2294"/>
    <n v="250"/>
    <n v="300"/>
    <n v="688200"/>
    <n v="68820"/>
    <n v="619380"/>
    <n v="573500"/>
    <n v="45880"/>
    <d v="2023-10-01T00:00:00"/>
    <n v="10"/>
    <s v="October"/>
    <s v="2023"/>
    <x v="7"/>
    <n v="7.407407407407407E-2"/>
    <n v="0.1"/>
  </r>
  <r>
    <x v="1"/>
    <x v="2"/>
    <s v="VTT"/>
    <s v="High"/>
    <n v="2167"/>
    <n v="250"/>
    <n v="15"/>
    <n v="32505"/>
    <n v="3250.5"/>
    <n v="29254.5"/>
    <n v="21670"/>
    <n v="7584.5"/>
    <d v="2023-10-01T00:00:00"/>
    <n v="10"/>
    <s v="October"/>
    <s v="2023"/>
    <x v="7"/>
    <n v="0.25925925925925924"/>
    <n v="0.1"/>
  </r>
  <r>
    <x v="3"/>
    <x v="0"/>
    <s v="VTT"/>
    <s v="High"/>
    <n v="2529"/>
    <n v="250"/>
    <n v="125"/>
    <n v="316125"/>
    <n v="31612.5"/>
    <n v="284512.5"/>
    <n v="303480"/>
    <n v="-18967.5"/>
    <d v="2024-11-01T00:00:00"/>
    <n v="11"/>
    <s v="November"/>
    <s v="2024"/>
    <x v="15"/>
    <n v="-6.6666666666666666E-2"/>
    <n v="0.1"/>
  </r>
  <r>
    <x v="0"/>
    <x v="1"/>
    <s v="VTT"/>
    <s v="High"/>
    <n v="1870"/>
    <n v="250"/>
    <n v="350"/>
    <n v="654500"/>
    <n v="65450"/>
    <n v="589050"/>
    <n v="486200"/>
    <n v="102850"/>
    <d v="2023-12-01T00:00:00"/>
    <n v="12"/>
    <s v="December"/>
    <s v="2023"/>
    <x v="12"/>
    <n v="0.17460317460317459"/>
    <n v="0.1"/>
  </r>
  <r>
    <x v="3"/>
    <x v="4"/>
    <s v="Amarilla"/>
    <s v="High"/>
    <n v="579"/>
    <n v="260"/>
    <n v="125"/>
    <n v="72375"/>
    <n v="7237.5"/>
    <n v="65137.5"/>
    <n v="69480"/>
    <n v="-4342.5"/>
    <d v="2024-01-01T00:00:00"/>
    <n v="1"/>
    <s v="January"/>
    <s v="2024"/>
    <x v="0"/>
    <n v="-6.6666666666666666E-2"/>
    <n v="0.1"/>
  </r>
  <r>
    <x v="0"/>
    <x v="0"/>
    <s v="Amarilla"/>
    <s v="High"/>
    <n v="2240"/>
    <n v="260"/>
    <n v="350"/>
    <n v="784000"/>
    <n v="78400"/>
    <n v="705600"/>
    <n v="582400"/>
    <n v="123200"/>
    <d v="2024-02-01T00:00:00"/>
    <n v="2"/>
    <s v="February"/>
    <s v="2024"/>
    <x v="8"/>
    <n v="0.17460317460317459"/>
    <n v="0.1"/>
  </r>
  <r>
    <x v="4"/>
    <x v="4"/>
    <s v="Amarilla"/>
    <s v="High"/>
    <n v="2993"/>
    <n v="260"/>
    <n v="300"/>
    <n v="897900"/>
    <n v="89790"/>
    <n v="808110"/>
    <n v="748250"/>
    <n v="59860"/>
    <d v="2024-03-01T00:00:00"/>
    <n v="3"/>
    <s v="March"/>
    <s v="2024"/>
    <x v="3"/>
    <n v="7.407407407407407E-2"/>
    <n v="0.1"/>
  </r>
  <r>
    <x v="2"/>
    <x v="0"/>
    <s v="Amarilla"/>
    <s v="High"/>
    <n v="3520.5"/>
    <n v="260"/>
    <n v="12"/>
    <n v="42246"/>
    <n v="4224.6000000000004"/>
    <n v="38021.399999999994"/>
    <n v="10561.5"/>
    <n v="27459.899999999998"/>
    <d v="2024-04-01T00:00:00"/>
    <n v="4"/>
    <s v="April"/>
    <s v="2024"/>
    <x v="13"/>
    <n v="0.72222222222222232"/>
    <n v="0.1"/>
  </r>
  <r>
    <x v="0"/>
    <x v="3"/>
    <s v="Amarilla"/>
    <s v="High"/>
    <n v="2039"/>
    <n v="260"/>
    <n v="20"/>
    <n v="40780"/>
    <n v="4078"/>
    <n v="36702"/>
    <n v="20390"/>
    <n v="16312"/>
    <d v="2024-05-01T00:00:00"/>
    <n v="5"/>
    <s v="May"/>
    <s v="2024"/>
    <x v="14"/>
    <n v="0.44444444444444442"/>
    <n v="0.1"/>
  </r>
  <r>
    <x v="2"/>
    <x v="1"/>
    <s v="Amarilla"/>
    <s v="High"/>
    <n v="2574"/>
    <n v="260"/>
    <n v="12"/>
    <n v="30888"/>
    <n v="3088.8"/>
    <n v="27799.200000000001"/>
    <n v="7722"/>
    <n v="20077.2"/>
    <d v="2024-08-01T00:00:00"/>
    <n v="8"/>
    <s v="August"/>
    <s v="2024"/>
    <x v="5"/>
    <n v="0.72222222222222221"/>
    <n v="0.1"/>
  </r>
  <r>
    <x v="0"/>
    <x v="0"/>
    <s v="Amarilla"/>
    <s v="High"/>
    <n v="707"/>
    <n v="260"/>
    <n v="350"/>
    <n v="247450"/>
    <n v="24745"/>
    <n v="222705"/>
    <n v="183820"/>
    <n v="38885"/>
    <d v="2024-09-01T00:00:00"/>
    <n v="9"/>
    <s v="September"/>
    <s v="2024"/>
    <x v="6"/>
    <n v="0.17460317460317459"/>
    <n v="0.1"/>
  </r>
  <r>
    <x v="1"/>
    <x v="2"/>
    <s v="Amarilla"/>
    <s v="High"/>
    <n v="2072"/>
    <n v="260"/>
    <n v="15"/>
    <n v="31080"/>
    <n v="3108"/>
    <n v="27972"/>
    <n v="20720"/>
    <n v="7252"/>
    <d v="2024-12-01T00:00:00"/>
    <n v="12"/>
    <s v="December"/>
    <s v="2024"/>
    <x v="2"/>
    <n v="0.25925925925925924"/>
    <n v="0.1"/>
  </r>
  <r>
    <x v="4"/>
    <x v="2"/>
    <s v="Amarilla"/>
    <s v="High"/>
    <n v="853"/>
    <n v="260"/>
    <n v="300"/>
    <n v="255900"/>
    <n v="25590"/>
    <n v="230310"/>
    <n v="213250"/>
    <n v="17060"/>
    <d v="2024-12-01T00:00:00"/>
    <n v="12"/>
    <s v="December"/>
    <s v="2024"/>
    <x v="2"/>
    <n v="7.407407407407407E-2"/>
    <n v="0.1"/>
  </r>
  <r>
    <x v="2"/>
    <x v="2"/>
    <s v="Carretera"/>
    <s v="High"/>
    <n v="1198"/>
    <n v="3"/>
    <n v="12"/>
    <n v="14376"/>
    <n v="1581.36"/>
    <n v="12794.64"/>
    <n v="3594"/>
    <n v="9200.64"/>
    <d v="2023-10-01T00:00:00"/>
    <n v="10"/>
    <s v="October"/>
    <s v="2023"/>
    <x v="7"/>
    <n v="0.7191011235955056"/>
    <n v="0.10999999999999999"/>
  </r>
  <r>
    <x v="0"/>
    <x v="2"/>
    <s v="Paseo"/>
    <s v="High"/>
    <n v="2532"/>
    <n v="10"/>
    <n v="7"/>
    <n v="17724"/>
    <n v="1949.6399999999999"/>
    <n v="15774.36"/>
    <n v="12660"/>
    <n v="3114.3599999999997"/>
    <d v="2024-04-01T00:00:00"/>
    <n v="4"/>
    <s v="April"/>
    <s v="2024"/>
    <x v="13"/>
    <n v="0.1974317817014446"/>
    <n v="0.10999999999999999"/>
  </r>
  <r>
    <x v="2"/>
    <x v="2"/>
    <s v="Paseo"/>
    <s v="High"/>
    <n v="1198"/>
    <n v="10"/>
    <n v="12"/>
    <n v="14376"/>
    <n v="1581.36"/>
    <n v="12794.64"/>
    <n v="3594"/>
    <n v="9200.64"/>
    <d v="2023-10-01T00:00:00"/>
    <n v="10"/>
    <s v="October"/>
    <s v="2023"/>
    <x v="7"/>
    <n v="0.7191011235955056"/>
    <n v="0.10999999999999999"/>
  </r>
  <r>
    <x v="1"/>
    <x v="0"/>
    <s v="Velo"/>
    <s v="High"/>
    <n v="384"/>
    <n v="120"/>
    <n v="15"/>
    <n v="5760"/>
    <n v="633.59999999999991"/>
    <n v="5126.3999999999996"/>
    <n v="3840"/>
    <n v="1286.3999999999999"/>
    <d v="2024-01-01T00:00:00"/>
    <n v="1"/>
    <s v="January"/>
    <s v="2024"/>
    <x v="0"/>
    <n v="0.25093632958801498"/>
    <n v="0.10999999999999999"/>
  </r>
  <r>
    <x v="2"/>
    <x v="1"/>
    <s v="Velo"/>
    <s v="High"/>
    <n v="472"/>
    <n v="120"/>
    <n v="12"/>
    <n v="5664"/>
    <n v="623.04"/>
    <n v="5040.96"/>
    <n v="1416"/>
    <n v="3624.96"/>
    <d v="2024-10-01T00:00:00"/>
    <n v="10"/>
    <s v="October"/>
    <s v="2024"/>
    <x v="10"/>
    <n v="0.7191011235955056"/>
    <n v="0.10999999999999999"/>
  </r>
  <r>
    <x v="0"/>
    <x v="4"/>
    <s v="VTT"/>
    <s v="High"/>
    <n v="1579"/>
    <n v="250"/>
    <n v="7"/>
    <n v="11053"/>
    <n v="1215.83"/>
    <n v="9837.17"/>
    <n v="7895"/>
    <n v="1942.17"/>
    <d v="2024-03-01T00:00:00"/>
    <n v="3"/>
    <s v="March"/>
    <s v="2024"/>
    <x v="3"/>
    <n v="0.19743178170144463"/>
    <n v="0.10999999999999999"/>
  </r>
  <r>
    <x v="2"/>
    <x v="3"/>
    <s v="VTT"/>
    <s v="High"/>
    <n v="1005"/>
    <n v="250"/>
    <n v="12"/>
    <n v="12060"/>
    <n v="1326.6"/>
    <n v="10733.4"/>
    <n v="3015"/>
    <n v="7718.4"/>
    <d v="2023-09-01T00:00:00"/>
    <n v="9"/>
    <s v="September"/>
    <s v="2023"/>
    <x v="9"/>
    <n v="0.7191011235955056"/>
    <n v="0.10999999999999999"/>
  </r>
  <r>
    <x v="1"/>
    <x v="4"/>
    <s v="Amarilla"/>
    <s v="High"/>
    <n v="3199.5"/>
    <n v="260"/>
    <n v="15"/>
    <n v="47992.5"/>
    <n v="5279.1749999999993"/>
    <n v="42713.324999999997"/>
    <n v="31995"/>
    <n v="10718.324999999999"/>
    <d v="2024-07-01T00:00:00"/>
    <n v="7"/>
    <s v="July"/>
    <s v="2024"/>
    <x v="4"/>
    <n v="0.25093632958801498"/>
    <n v="0.10999999999999999"/>
  </r>
  <r>
    <x v="2"/>
    <x v="1"/>
    <s v="Amarilla"/>
    <s v="High"/>
    <n v="472"/>
    <n v="260"/>
    <n v="12"/>
    <n v="5664"/>
    <n v="623.04"/>
    <n v="5040.96"/>
    <n v="1416"/>
    <n v="3624.96"/>
    <d v="2024-10-01T00:00:00"/>
    <n v="10"/>
    <s v="October"/>
    <s v="2024"/>
    <x v="10"/>
    <n v="0.7191011235955056"/>
    <n v="0.10999999999999999"/>
  </r>
  <r>
    <x v="2"/>
    <x v="0"/>
    <s v="Carretera"/>
    <s v="High"/>
    <n v="1937"/>
    <n v="3"/>
    <n v="12"/>
    <n v="23244"/>
    <n v="2556.84"/>
    <n v="20687.16"/>
    <n v="5811"/>
    <n v="14876.16"/>
    <d v="2024-02-01T00:00:00"/>
    <n v="2"/>
    <s v="February"/>
    <s v="2024"/>
    <x v="8"/>
    <n v="0.7191011235955056"/>
    <n v="0.11"/>
  </r>
  <r>
    <x v="0"/>
    <x v="1"/>
    <s v="Carretera"/>
    <s v="High"/>
    <n v="792"/>
    <n v="3"/>
    <n v="350"/>
    <n v="277200"/>
    <n v="30492"/>
    <n v="246708"/>
    <n v="205920"/>
    <n v="40788"/>
    <d v="2024-03-01T00:00:00"/>
    <n v="3"/>
    <s v="March"/>
    <s v="2024"/>
    <x v="3"/>
    <n v="0.1653290529695024"/>
    <n v="0.11"/>
  </r>
  <r>
    <x v="4"/>
    <x v="1"/>
    <s v="Carretera"/>
    <s v="High"/>
    <n v="2811"/>
    <n v="3"/>
    <n v="300"/>
    <n v="843300"/>
    <n v="92763"/>
    <n v="750537"/>
    <n v="702750"/>
    <n v="47787"/>
    <d v="2024-07-01T00:00:00"/>
    <n v="7"/>
    <s v="July"/>
    <s v="2024"/>
    <x v="4"/>
    <n v="6.3670411985018729E-2"/>
    <n v="0.11"/>
  </r>
  <r>
    <x v="3"/>
    <x v="2"/>
    <s v="Carretera"/>
    <s v="High"/>
    <n v="2441"/>
    <n v="3"/>
    <n v="125"/>
    <n v="305125"/>
    <n v="33563.75"/>
    <n v="271561.25"/>
    <n v="292920"/>
    <n v="-21358.75"/>
    <d v="2024-10-01T00:00:00"/>
    <n v="10"/>
    <s v="October"/>
    <s v="2024"/>
    <x v="10"/>
    <n v="-7.8651685393258425E-2"/>
    <n v="0.11"/>
  </r>
  <r>
    <x v="1"/>
    <x v="0"/>
    <s v="Carretera"/>
    <s v="High"/>
    <n v="1560"/>
    <n v="3"/>
    <n v="15"/>
    <n v="23400"/>
    <n v="2574"/>
    <n v="20826"/>
    <n v="15600"/>
    <n v="5226"/>
    <d v="2023-11-01T00:00:00"/>
    <n v="11"/>
    <s v="November"/>
    <s v="2023"/>
    <x v="11"/>
    <n v="0.25093632958801498"/>
    <n v="0.11"/>
  </r>
  <r>
    <x v="0"/>
    <x v="3"/>
    <s v="Carretera"/>
    <s v="High"/>
    <n v="2706"/>
    <n v="3"/>
    <n v="7"/>
    <n v="18942"/>
    <n v="2083.62"/>
    <n v="16858.38"/>
    <n v="13530"/>
    <n v="3328.380000000001"/>
    <d v="2023-11-01T00:00:00"/>
    <n v="11"/>
    <s v="November"/>
    <s v="2023"/>
    <x v="11"/>
    <n v="0.19743178170144468"/>
    <n v="0.11"/>
  </r>
  <r>
    <x v="0"/>
    <x v="1"/>
    <s v="Montana"/>
    <s v="High"/>
    <n v="766"/>
    <n v="5"/>
    <n v="350"/>
    <n v="268100"/>
    <n v="29491"/>
    <n v="238609"/>
    <n v="199160"/>
    <n v="39449"/>
    <d v="2024-01-01T00:00:00"/>
    <n v="1"/>
    <s v="January"/>
    <s v="2024"/>
    <x v="0"/>
    <n v="0.1653290529695024"/>
    <n v="0.11"/>
  </r>
  <r>
    <x v="0"/>
    <x v="1"/>
    <s v="Montana"/>
    <s v="High"/>
    <n v="2992"/>
    <n v="5"/>
    <n v="20"/>
    <n v="59840"/>
    <n v="6582.4"/>
    <n v="53257.599999999999"/>
    <n v="29920"/>
    <n v="23337.599999999999"/>
    <d v="2023-10-01T00:00:00"/>
    <n v="10"/>
    <s v="October"/>
    <s v="2023"/>
    <x v="7"/>
    <n v="0.4382022471910112"/>
    <n v="0.11"/>
  </r>
  <r>
    <x v="1"/>
    <x v="3"/>
    <s v="Montana"/>
    <s v="High"/>
    <n v="2157"/>
    <n v="5"/>
    <n v="15"/>
    <n v="32355"/>
    <n v="3559.05"/>
    <n v="28795.95"/>
    <n v="21570"/>
    <n v="7225.9500000000007"/>
    <d v="2024-12-01T00:00:00"/>
    <n v="12"/>
    <s v="December"/>
    <s v="2024"/>
    <x v="2"/>
    <n v="0.25093632958801498"/>
    <n v="0.11"/>
  </r>
  <r>
    <x v="4"/>
    <x v="0"/>
    <s v="Paseo"/>
    <s v="High"/>
    <n v="873"/>
    <n v="10"/>
    <n v="300"/>
    <n v="261900"/>
    <n v="28809"/>
    <n v="233091"/>
    <n v="218250"/>
    <n v="14841"/>
    <d v="2024-01-01T00:00:00"/>
    <n v="1"/>
    <s v="January"/>
    <s v="2024"/>
    <x v="0"/>
    <n v="6.3670411985018729E-2"/>
    <n v="0.11"/>
  </r>
  <r>
    <x v="0"/>
    <x v="3"/>
    <s v="Paseo"/>
    <s v="High"/>
    <n v="1122"/>
    <n v="10"/>
    <n v="20"/>
    <n v="22440"/>
    <n v="2468.4"/>
    <n v="19971.599999999999"/>
    <n v="11220"/>
    <n v="8751.5999999999985"/>
    <d v="2024-03-01T00:00:00"/>
    <n v="3"/>
    <s v="March"/>
    <s v="2024"/>
    <x v="3"/>
    <n v="0.4382022471910112"/>
    <n v="0.11"/>
  </r>
  <r>
    <x v="0"/>
    <x v="0"/>
    <s v="Paseo"/>
    <s v="High"/>
    <n v="2104.5"/>
    <n v="10"/>
    <n v="350"/>
    <n v="736575"/>
    <n v="81023.25"/>
    <n v="655551.75"/>
    <n v="547170"/>
    <n v="108381.75"/>
    <d v="2024-07-01T00:00:00"/>
    <n v="7"/>
    <s v="July"/>
    <s v="2024"/>
    <x v="4"/>
    <n v="0.1653290529695024"/>
    <n v="0.11"/>
  </r>
  <r>
    <x v="2"/>
    <x v="0"/>
    <s v="Paseo"/>
    <s v="High"/>
    <n v="4026"/>
    <n v="10"/>
    <n v="12"/>
    <n v="48312"/>
    <n v="5314.32"/>
    <n v="42997.68"/>
    <n v="12078"/>
    <n v="30919.68"/>
    <d v="2024-07-01T00:00:00"/>
    <n v="7"/>
    <s v="July"/>
    <s v="2024"/>
    <x v="4"/>
    <n v="0.7191011235955056"/>
    <n v="0.11"/>
  </r>
  <r>
    <x v="2"/>
    <x v="2"/>
    <s v="Paseo"/>
    <s v="High"/>
    <n v="2425.5"/>
    <n v="10"/>
    <n v="12"/>
    <n v="29106"/>
    <n v="3201.66"/>
    <n v="25904.340000000004"/>
    <n v="7276.5"/>
    <n v="18627.840000000004"/>
    <d v="2024-07-01T00:00:00"/>
    <n v="7"/>
    <s v="July"/>
    <s v="2024"/>
    <x v="4"/>
    <n v="0.71910112359550571"/>
    <n v="0.11"/>
  </r>
  <r>
    <x v="0"/>
    <x v="0"/>
    <s v="Paseo"/>
    <s v="High"/>
    <n v="2394"/>
    <n v="10"/>
    <n v="20"/>
    <n v="47880"/>
    <n v="5266.8"/>
    <n v="42613.2"/>
    <n v="23940"/>
    <n v="18673.199999999997"/>
    <d v="2024-08-01T00:00:00"/>
    <n v="8"/>
    <s v="August"/>
    <s v="2024"/>
    <x v="5"/>
    <n v="0.4382022471910112"/>
    <n v="0.11"/>
  </r>
  <r>
    <x v="1"/>
    <x v="3"/>
    <s v="Paseo"/>
    <s v="High"/>
    <n v="1984"/>
    <n v="10"/>
    <n v="15"/>
    <n v="29760"/>
    <n v="3273.6"/>
    <n v="26486.400000000001"/>
    <n v="19840"/>
    <n v="6646.4000000000015"/>
    <d v="2024-08-01T00:00:00"/>
    <n v="8"/>
    <s v="August"/>
    <s v="2024"/>
    <x v="5"/>
    <n v="0.25093632958801504"/>
    <n v="0.11"/>
  </r>
  <r>
    <x v="3"/>
    <x v="2"/>
    <s v="Paseo"/>
    <s v="High"/>
    <n v="2441"/>
    <n v="10"/>
    <n v="125"/>
    <n v="305125"/>
    <n v="33563.75"/>
    <n v="271561.25"/>
    <n v="292920"/>
    <n v="-21358.75"/>
    <d v="2024-10-01T00:00:00"/>
    <n v="10"/>
    <s v="October"/>
    <s v="2024"/>
    <x v="10"/>
    <n v="-7.8651685393258425E-2"/>
    <n v="0.11"/>
  </r>
  <r>
    <x v="0"/>
    <x v="1"/>
    <s v="Paseo"/>
    <s v="High"/>
    <n v="2992"/>
    <n v="10"/>
    <n v="20"/>
    <n v="59840"/>
    <n v="6582.4"/>
    <n v="53257.599999999999"/>
    <n v="29920"/>
    <n v="23337.599999999999"/>
    <d v="2023-10-01T00:00:00"/>
    <n v="10"/>
    <s v="October"/>
    <s v="2023"/>
    <x v="7"/>
    <n v="0.4382022471910112"/>
    <n v="0.11"/>
  </r>
  <r>
    <x v="4"/>
    <x v="0"/>
    <s v="Paseo"/>
    <s v="High"/>
    <n v="1366"/>
    <n v="10"/>
    <n v="300"/>
    <n v="409800"/>
    <n v="45078"/>
    <n v="364722"/>
    <n v="341500"/>
    <n v="23222"/>
    <d v="2024-11-01T00:00:00"/>
    <n v="11"/>
    <s v="November"/>
    <s v="2024"/>
    <x v="15"/>
    <n v="6.3670411985018729E-2"/>
    <n v="0.11"/>
  </r>
  <r>
    <x v="0"/>
    <x v="2"/>
    <s v="Velo"/>
    <s v="High"/>
    <n v="2805"/>
    <n v="120"/>
    <n v="20"/>
    <n v="56100"/>
    <n v="6171"/>
    <n v="49929"/>
    <n v="28050"/>
    <n v="21879"/>
    <d v="2023-09-01T00:00:00"/>
    <n v="9"/>
    <s v="September"/>
    <s v="2023"/>
    <x v="9"/>
    <n v="0.43820224719101125"/>
    <n v="0.11"/>
  </r>
  <r>
    <x v="1"/>
    <x v="3"/>
    <s v="Velo"/>
    <s v="High"/>
    <n v="655"/>
    <n v="120"/>
    <n v="15"/>
    <n v="9825"/>
    <n v="1080.75"/>
    <n v="8744.25"/>
    <n v="6550"/>
    <n v="2194.25"/>
    <d v="2023-09-01T00:00:00"/>
    <n v="9"/>
    <s v="September"/>
    <s v="2023"/>
    <x v="9"/>
    <n v="0.25093632958801498"/>
    <n v="0.11"/>
  </r>
  <r>
    <x v="0"/>
    <x v="3"/>
    <s v="Velo"/>
    <s v="High"/>
    <n v="344"/>
    <n v="120"/>
    <n v="350"/>
    <n v="120400"/>
    <n v="13244"/>
    <n v="107156"/>
    <n v="89440"/>
    <n v="17716"/>
    <d v="2023-10-01T00:00:00"/>
    <n v="10"/>
    <s v="October"/>
    <s v="2023"/>
    <x v="7"/>
    <n v="0.1653290529695024"/>
    <n v="0.11"/>
  </r>
  <r>
    <x v="0"/>
    <x v="0"/>
    <s v="Velo"/>
    <s v="High"/>
    <n v="1808"/>
    <n v="120"/>
    <n v="7"/>
    <n v="12656"/>
    <n v="1392.16"/>
    <n v="11263.84"/>
    <n v="9040"/>
    <n v="2223.84"/>
    <d v="2024-11-01T00:00:00"/>
    <n v="11"/>
    <s v="November"/>
    <s v="2024"/>
    <x v="15"/>
    <n v="0.19743178170144463"/>
    <n v="0.11"/>
  </r>
  <r>
    <x v="2"/>
    <x v="2"/>
    <s v="VTT"/>
    <s v="High"/>
    <n v="1734"/>
    <n v="250"/>
    <n v="12"/>
    <n v="20808"/>
    <n v="2288.88"/>
    <n v="18519.12"/>
    <n v="5202"/>
    <n v="13317.119999999999"/>
    <d v="2024-01-01T00:00:00"/>
    <n v="1"/>
    <s v="January"/>
    <s v="2024"/>
    <x v="0"/>
    <n v="0.7191011235955056"/>
    <n v="0.11"/>
  </r>
  <r>
    <x v="3"/>
    <x v="3"/>
    <s v="VTT"/>
    <s v="High"/>
    <n v="554"/>
    <n v="250"/>
    <n v="125"/>
    <n v="69250"/>
    <n v="7617.5"/>
    <n v="61632.5"/>
    <n v="66480"/>
    <n v="-4847.5"/>
    <d v="2024-01-01T00:00:00"/>
    <n v="1"/>
    <s v="January"/>
    <s v="2024"/>
    <x v="0"/>
    <n v="-7.8651685393258425E-2"/>
    <n v="0.11"/>
  </r>
  <r>
    <x v="0"/>
    <x v="0"/>
    <s v="VTT"/>
    <s v="High"/>
    <n v="2935"/>
    <n v="250"/>
    <n v="20"/>
    <n v="58700"/>
    <n v="6457"/>
    <n v="52243"/>
    <n v="29350"/>
    <n v="22893"/>
    <d v="2023-11-01T00:00:00"/>
    <n v="11"/>
    <s v="November"/>
    <s v="2023"/>
    <x v="11"/>
    <n v="0.43820224719101125"/>
    <n v="0.11"/>
  </r>
  <r>
    <x v="3"/>
    <x v="1"/>
    <s v="Amarilla"/>
    <s v="High"/>
    <n v="3165"/>
    <n v="260"/>
    <n v="125"/>
    <n v="395625"/>
    <n v="43518.75"/>
    <n v="352106.25"/>
    <n v="379800"/>
    <n v="-27693.75"/>
    <d v="2024-01-01T00:00:00"/>
    <n v="1"/>
    <s v="January"/>
    <s v="2024"/>
    <x v="0"/>
    <n v="-7.8651685393258425E-2"/>
    <n v="0.11"/>
  </r>
  <r>
    <x v="0"/>
    <x v="3"/>
    <s v="Amarilla"/>
    <s v="High"/>
    <n v="2629"/>
    <n v="260"/>
    <n v="20"/>
    <n v="52580"/>
    <n v="5783.8"/>
    <n v="46796.2"/>
    <n v="26290"/>
    <n v="20506.199999999997"/>
    <d v="2024-01-01T00:00:00"/>
    <n v="1"/>
    <s v="January"/>
    <s v="2024"/>
    <x v="0"/>
    <n v="0.4382022471910112"/>
    <n v="0.11"/>
  </r>
  <r>
    <x v="3"/>
    <x v="2"/>
    <s v="Amarilla"/>
    <s v="High"/>
    <n v="1433"/>
    <n v="260"/>
    <n v="125"/>
    <n v="179125"/>
    <n v="19703.75"/>
    <n v="159421.25"/>
    <n v="171960"/>
    <n v="-12538.75"/>
    <d v="2024-05-01T00:00:00"/>
    <n v="5"/>
    <s v="May"/>
    <s v="2024"/>
    <x v="14"/>
    <n v="-7.8651685393258425E-2"/>
    <n v="0.11"/>
  </r>
  <r>
    <x v="3"/>
    <x v="3"/>
    <s v="Amarilla"/>
    <s v="High"/>
    <n v="947"/>
    <n v="260"/>
    <n v="125"/>
    <n v="118375"/>
    <n v="13021.25"/>
    <n v="105353.75"/>
    <n v="113640"/>
    <n v="-8286.25"/>
    <d v="2023-09-01T00:00:00"/>
    <n v="9"/>
    <s v="September"/>
    <s v="2023"/>
    <x v="9"/>
    <n v="-7.8651685393258425E-2"/>
    <n v="0.11"/>
  </r>
  <r>
    <x v="0"/>
    <x v="3"/>
    <s v="Amarilla"/>
    <s v="High"/>
    <n v="344"/>
    <n v="260"/>
    <n v="350"/>
    <n v="120400"/>
    <n v="13244"/>
    <n v="107156"/>
    <n v="89440"/>
    <n v="17716"/>
    <d v="2023-10-01T00:00:00"/>
    <n v="10"/>
    <s v="October"/>
    <s v="2023"/>
    <x v="7"/>
    <n v="0.1653290529695024"/>
    <n v="0.11"/>
  </r>
  <r>
    <x v="1"/>
    <x v="3"/>
    <s v="Amarilla"/>
    <s v="High"/>
    <n v="2157"/>
    <n v="260"/>
    <n v="15"/>
    <n v="32355"/>
    <n v="3559.05"/>
    <n v="28795.95"/>
    <n v="21570"/>
    <n v="7225.9500000000007"/>
    <d v="2024-12-01T00:00:00"/>
    <n v="12"/>
    <s v="December"/>
    <s v="2024"/>
    <x v="2"/>
    <n v="0.25093632958801498"/>
    <n v="0.11"/>
  </r>
  <r>
    <x v="0"/>
    <x v="4"/>
    <s v="Paseo"/>
    <s v="High"/>
    <n v="380"/>
    <n v="10"/>
    <n v="7"/>
    <n v="2660"/>
    <n v="292.60000000000002"/>
    <n v="2367.4"/>
    <n v="1900"/>
    <n v="467.40000000000009"/>
    <d v="2023-09-01T00:00:00"/>
    <n v="9"/>
    <s v="September"/>
    <s v="2023"/>
    <x v="9"/>
    <n v="0.19743178170144465"/>
    <n v="0.11000000000000001"/>
  </r>
  <r>
    <x v="0"/>
    <x v="3"/>
    <s v="Carretera"/>
    <s v="High"/>
    <n v="886"/>
    <n v="3"/>
    <n v="350"/>
    <n v="310100"/>
    <n v="37212"/>
    <n v="272888"/>
    <n v="230360"/>
    <n v="42528"/>
    <d v="2024-06-01T00:00:00"/>
    <n v="6"/>
    <s v="June"/>
    <s v="2024"/>
    <x v="1"/>
    <n v="0.15584415584415584"/>
    <n v="0.12"/>
  </r>
  <r>
    <x v="3"/>
    <x v="0"/>
    <s v="Carretera"/>
    <s v="High"/>
    <n v="2416"/>
    <n v="3"/>
    <n v="125"/>
    <n v="302000"/>
    <n v="36240"/>
    <n v="265760"/>
    <n v="289920"/>
    <n v="-24160"/>
    <d v="2023-09-01T00:00:00"/>
    <n v="9"/>
    <s v="September"/>
    <s v="2023"/>
    <x v="9"/>
    <n v="-9.0909090909090912E-2"/>
    <n v="0.12"/>
  </r>
  <r>
    <x v="3"/>
    <x v="3"/>
    <s v="Carretera"/>
    <s v="High"/>
    <n v="2156"/>
    <n v="3"/>
    <n v="125"/>
    <n v="269500"/>
    <n v="32340"/>
    <n v="237160"/>
    <n v="258720"/>
    <n v="-21560"/>
    <d v="2024-10-01T00:00:00"/>
    <n v="10"/>
    <s v="October"/>
    <s v="2024"/>
    <x v="10"/>
    <n v="-9.0909090909090912E-2"/>
    <n v="0.12"/>
  </r>
  <r>
    <x v="1"/>
    <x v="0"/>
    <s v="Carretera"/>
    <s v="High"/>
    <n v="2689"/>
    <n v="3"/>
    <n v="15"/>
    <n v="40335"/>
    <n v="4840.2"/>
    <n v="35494.800000000003"/>
    <n v="26890"/>
    <n v="8604.8000000000029"/>
    <d v="2024-11-01T00:00:00"/>
    <n v="11"/>
    <s v="November"/>
    <s v="2024"/>
    <x v="15"/>
    <n v="0.24242424242424249"/>
    <n v="0.12"/>
  </r>
  <r>
    <x v="1"/>
    <x v="4"/>
    <s v="Montana"/>
    <s v="High"/>
    <n v="677"/>
    <n v="5"/>
    <n v="15"/>
    <n v="10155"/>
    <n v="1218.5999999999999"/>
    <n v="8936.4"/>
    <n v="6770"/>
    <n v="2166.3999999999996"/>
    <d v="2024-03-01T00:00:00"/>
    <n v="3"/>
    <s v="March"/>
    <s v="2024"/>
    <x v="3"/>
    <n v="0.2424242424242424"/>
    <n v="0.12"/>
  </r>
  <r>
    <x v="4"/>
    <x v="2"/>
    <s v="Montana"/>
    <s v="High"/>
    <n v="1773"/>
    <n v="5"/>
    <n v="300"/>
    <n v="531900"/>
    <n v="63828"/>
    <n v="468072"/>
    <n v="443250"/>
    <n v="24822"/>
    <d v="2024-04-01T00:00:00"/>
    <n v="4"/>
    <s v="April"/>
    <s v="2024"/>
    <x v="13"/>
    <n v="5.3030303030303032E-2"/>
    <n v="0.12"/>
  </r>
  <r>
    <x v="0"/>
    <x v="3"/>
    <s v="Montana"/>
    <s v="High"/>
    <n v="2420"/>
    <n v="5"/>
    <n v="7"/>
    <n v="16940"/>
    <n v="2032.8"/>
    <n v="14907.2"/>
    <n v="12100"/>
    <n v="2807.2000000000007"/>
    <d v="2024-09-01T00:00:00"/>
    <n v="9"/>
    <s v="September"/>
    <s v="2024"/>
    <x v="6"/>
    <n v="0.18831168831168835"/>
    <n v="0.12"/>
  </r>
  <r>
    <x v="0"/>
    <x v="0"/>
    <s v="Montana"/>
    <s v="High"/>
    <n v="2734"/>
    <n v="5"/>
    <n v="7"/>
    <n v="19138"/>
    <n v="2296.56"/>
    <n v="16841.439999999999"/>
    <n v="13670"/>
    <n v="3171.4399999999987"/>
    <d v="2024-10-01T00:00:00"/>
    <n v="10"/>
    <s v="October"/>
    <s v="2024"/>
    <x v="10"/>
    <n v="0.18831168831168824"/>
    <n v="0.12"/>
  </r>
  <r>
    <x v="0"/>
    <x v="3"/>
    <s v="Montana"/>
    <s v="High"/>
    <n v="1715"/>
    <n v="5"/>
    <n v="20"/>
    <n v="34300"/>
    <n v="4116"/>
    <n v="30184"/>
    <n v="17150"/>
    <n v="13034"/>
    <d v="2023-10-01T00:00:00"/>
    <n v="10"/>
    <s v="October"/>
    <s v="2023"/>
    <x v="7"/>
    <n v="0.43181818181818182"/>
    <n v="0.12"/>
  </r>
  <r>
    <x v="4"/>
    <x v="2"/>
    <s v="Montana"/>
    <s v="High"/>
    <n v="1186"/>
    <n v="5"/>
    <n v="300"/>
    <n v="355800"/>
    <n v="42696"/>
    <n v="313104"/>
    <n v="296500"/>
    <n v="16604"/>
    <d v="2023-12-01T00:00:00"/>
    <n v="12"/>
    <s v="December"/>
    <s v="2023"/>
    <x v="12"/>
    <n v="5.3030303030303032E-2"/>
    <n v="0.12"/>
  </r>
  <r>
    <x v="4"/>
    <x v="4"/>
    <s v="Paseo"/>
    <s v="High"/>
    <n v="3495"/>
    <n v="10"/>
    <n v="300"/>
    <n v="1048500"/>
    <n v="125820"/>
    <n v="922680"/>
    <n v="873750"/>
    <n v="48930"/>
    <d v="2024-01-01T00:00:00"/>
    <n v="1"/>
    <s v="January"/>
    <s v="2024"/>
    <x v="0"/>
    <n v="5.3030303030303032E-2"/>
    <n v="0.12"/>
  </r>
  <r>
    <x v="0"/>
    <x v="3"/>
    <s v="Paseo"/>
    <s v="High"/>
    <n v="886"/>
    <n v="10"/>
    <n v="350"/>
    <n v="310100"/>
    <n v="37212"/>
    <n v="272888"/>
    <n v="230360"/>
    <n v="42528"/>
    <d v="2024-06-01T00:00:00"/>
    <n v="6"/>
    <s v="June"/>
    <s v="2024"/>
    <x v="1"/>
    <n v="0.15584415584415584"/>
    <n v="0.12"/>
  </r>
  <r>
    <x v="3"/>
    <x v="3"/>
    <s v="Paseo"/>
    <s v="High"/>
    <n v="2156"/>
    <n v="10"/>
    <n v="125"/>
    <n v="269500"/>
    <n v="32340"/>
    <n v="237160"/>
    <n v="258720"/>
    <n v="-21560"/>
    <d v="2024-10-01T00:00:00"/>
    <n v="10"/>
    <s v="October"/>
    <s v="2024"/>
    <x v="10"/>
    <n v="-9.0909090909090912E-2"/>
    <n v="0.12"/>
  </r>
  <r>
    <x v="0"/>
    <x v="3"/>
    <s v="Paseo"/>
    <s v="High"/>
    <n v="905"/>
    <n v="10"/>
    <n v="20"/>
    <n v="18100"/>
    <n v="2172"/>
    <n v="15928"/>
    <n v="9050"/>
    <n v="6878"/>
    <d v="2024-10-01T00:00:00"/>
    <n v="10"/>
    <s v="October"/>
    <s v="2024"/>
    <x v="10"/>
    <n v="0.43181818181818182"/>
    <n v="0.12"/>
  </r>
  <r>
    <x v="0"/>
    <x v="3"/>
    <s v="Paseo"/>
    <s v="High"/>
    <n v="1715"/>
    <n v="10"/>
    <n v="20"/>
    <n v="34300"/>
    <n v="4116"/>
    <n v="30184"/>
    <n v="17150"/>
    <n v="13034"/>
    <d v="2023-10-01T00:00:00"/>
    <n v="10"/>
    <s v="October"/>
    <s v="2023"/>
    <x v="7"/>
    <n v="0.43181818181818182"/>
    <n v="0.12"/>
  </r>
  <r>
    <x v="0"/>
    <x v="2"/>
    <s v="Paseo"/>
    <s v="High"/>
    <n v="1594"/>
    <n v="10"/>
    <n v="350"/>
    <n v="557900"/>
    <n v="66948"/>
    <n v="490952"/>
    <n v="414440"/>
    <n v="76512"/>
    <d v="2024-11-01T00:00:00"/>
    <n v="11"/>
    <s v="November"/>
    <s v="2024"/>
    <x v="15"/>
    <n v="0.15584415584415584"/>
    <n v="0.12"/>
  </r>
  <r>
    <x v="4"/>
    <x v="1"/>
    <s v="Paseo"/>
    <s v="High"/>
    <n v="1359"/>
    <n v="10"/>
    <n v="300"/>
    <n v="407700"/>
    <n v="48924"/>
    <n v="358776"/>
    <n v="339750"/>
    <n v="19026"/>
    <d v="2024-11-01T00:00:00"/>
    <n v="11"/>
    <s v="November"/>
    <s v="2024"/>
    <x v="15"/>
    <n v="5.3030303030303032E-2"/>
    <n v="0.12"/>
  </r>
  <r>
    <x v="4"/>
    <x v="3"/>
    <s v="Paseo"/>
    <s v="High"/>
    <n v="2150"/>
    <n v="10"/>
    <n v="300"/>
    <n v="645000"/>
    <n v="77400"/>
    <n v="567600"/>
    <n v="537500"/>
    <n v="30100"/>
    <d v="2024-11-01T00:00:00"/>
    <n v="11"/>
    <s v="November"/>
    <s v="2024"/>
    <x v="15"/>
    <n v="5.3030303030303032E-2"/>
    <n v="0.12"/>
  </r>
  <r>
    <x v="0"/>
    <x v="3"/>
    <s v="Paseo"/>
    <s v="High"/>
    <n v="1197"/>
    <n v="10"/>
    <n v="350"/>
    <n v="418950"/>
    <n v="50274"/>
    <n v="368676"/>
    <n v="311220"/>
    <n v="57456"/>
    <d v="2024-11-01T00:00:00"/>
    <n v="11"/>
    <s v="November"/>
    <s v="2024"/>
    <x v="15"/>
    <n v="0.15584415584415584"/>
    <n v="0.12"/>
  </r>
  <r>
    <x v="1"/>
    <x v="3"/>
    <s v="Paseo"/>
    <s v="High"/>
    <n v="380"/>
    <n v="10"/>
    <n v="15"/>
    <n v="5700"/>
    <n v="684"/>
    <n v="5016"/>
    <n v="3800"/>
    <n v="1216"/>
    <d v="2023-12-01T00:00:00"/>
    <n v="12"/>
    <s v="December"/>
    <s v="2023"/>
    <x v="12"/>
    <n v="0.24242424242424243"/>
    <n v="0.12"/>
  </r>
  <r>
    <x v="0"/>
    <x v="3"/>
    <s v="Paseo"/>
    <s v="High"/>
    <n v="1233"/>
    <n v="10"/>
    <n v="20"/>
    <n v="24660"/>
    <n v="2959.2"/>
    <n v="21700.799999999999"/>
    <n v="12330"/>
    <n v="9370.7999999999993"/>
    <d v="2024-12-01T00:00:00"/>
    <n v="12"/>
    <s v="December"/>
    <s v="2024"/>
    <x v="2"/>
    <n v="0.43181818181818182"/>
    <n v="0.12"/>
  </r>
  <r>
    <x v="0"/>
    <x v="3"/>
    <s v="Velo"/>
    <s v="High"/>
    <n v="1395"/>
    <n v="120"/>
    <n v="350"/>
    <n v="488250"/>
    <n v="58590"/>
    <n v="429660"/>
    <n v="362700"/>
    <n v="66960"/>
    <d v="2024-07-01T00:00:00"/>
    <n v="7"/>
    <s v="July"/>
    <s v="2024"/>
    <x v="4"/>
    <n v="0.15584415584415584"/>
    <n v="0.12"/>
  </r>
  <r>
    <x v="0"/>
    <x v="4"/>
    <s v="Velo"/>
    <s v="High"/>
    <n v="986"/>
    <n v="120"/>
    <n v="350"/>
    <n v="345100"/>
    <n v="41412"/>
    <n v="303688"/>
    <n v="256360"/>
    <n v="47328"/>
    <d v="2024-10-01T00:00:00"/>
    <n v="10"/>
    <s v="October"/>
    <s v="2024"/>
    <x v="10"/>
    <n v="0.15584415584415584"/>
    <n v="0.12"/>
  </r>
  <r>
    <x v="0"/>
    <x v="3"/>
    <s v="Velo"/>
    <s v="High"/>
    <n v="905"/>
    <n v="120"/>
    <n v="20"/>
    <n v="18100"/>
    <n v="2172"/>
    <n v="15928"/>
    <n v="9050"/>
    <n v="6878"/>
    <d v="2024-10-01T00:00:00"/>
    <n v="10"/>
    <s v="October"/>
    <s v="2024"/>
    <x v="10"/>
    <n v="0.43181818181818182"/>
    <n v="0.12"/>
  </r>
  <r>
    <x v="2"/>
    <x v="0"/>
    <s v="VTT"/>
    <s v="High"/>
    <n v="2109"/>
    <n v="250"/>
    <n v="12"/>
    <n v="25308"/>
    <n v="3036.96"/>
    <n v="22271.040000000001"/>
    <n v="6327"/>
    <n v="15944.04"/>
    <d v="2024-05-01T00:00:00"/>
    <n v="5"/>
    <s v="May"/>
    <s v="2024"/>
    <x v="14"/>
    <n v="0.71590909090909094"/>
    <n v="0.12"/>
  </r>
  <r>
    <x v="1"/>
    <x v="2"/>
    <s v="VTT"/>
    <s v="High"/>
    <n v="3874.5"/>
    <n v="250"/>
    <n v="15"/>
    <n v="58117.5"/>
    <n v="6974.0999999999995"/>
    <n v="51143.399999999994"/>
    <n v="38745"/>
    <n v="12398.399999999998"/>
    <d v="2024-07-01T00:00:00"/>
    <n v="7"/>
    <s v="July"/>
    <s v="2024"/>
    <x v="4"/>
    <n v="0.2424242424242424"/>
    <n v="0.12"/>
  </r>
  <r>
    <x v="0"/>
    <x v="0"/>
    <s v="VTT"/>
    <s v="High"/>
    <n v="623"/>
    <n v="250"/>
    <n v="350"/>
    <n v="218050"/>
    <n v="26166"/>
    <n v="191884"/>
    <n v="161980"/>
    <n v="29904"/>
    <d v="2023-09-01T00:00:00"/>
    <n v="9"/>
    <s v="September"/>
    <s v="2023"/>
    <x v="9"/>
    <n v="0.15584415584415584"/>
    <n v="0.12"/>
  </r>
  <r>
    <x v="0"/>
    <x v="4"/>
    <s v="VTT"/>
    <s v="High"/>
    <n v="986"/>
    <n v="250"/>
    <n v="350"/>
    <n v="345100"/>
    <n v="41412"/>
    <n v="303688"/>
    <n v="256360"/>
    <n v="47328"/>
    <d v="2024-10-01T00:00:00"/>
    <n v="10"/>
    <s v="October"/>
    <s v="2024"/>
    <x v="10"/>
    <n v="0.15584415584415584"/>
    <n v="0.12"/>
  </r>
  <r>
    <x v="3"/>
    <x v="4"/>
    <s v="VTT"/>
    <s v="High"/>
    <n v="2387"/>
    <n v="250"/>
    <n v="125"/>
    <n v="298375"/>
    <n v="35805"/>
    <n v="262570"/>
    <n v="286440"/>
    <n v="-23870"/>
    <d v="2024-11-01T00:00:00"/>
    <n v="11"/>
    <s v="November"/>
    <s v="2024"/>
    <x v="15"/>
    <n v="-9.0909090909090912E-2"/>
    <n v="0.12"/>
  </r>
  <r>
    <x v="0"/>
    <x v="3"/>
    <s v="VTT"/>
    <s v="High"/>
    <n v="1233"/>
    <n v="250"/>
    <n v="20"/>
    <n v="24660"/>
    <n v="2959.2"/>
    <n v="21700.799999999999"/>
    <n v="12330"/>
    <n v="9370.7999999999993"/>
    <d v="2024-12-01T00:00:00"/>
    <n v="12"/>
    <s v="December"/>
    <s v="2024"/>
    <x v="2"/>
    <n v="0.43181818181818182"/>
    <n v="0.12"/>
  </r>
  <r>
    <x v="0"/>
    <x v="4"/>
    <s v="Amarilla"/>
    <s v="High"/>
    <n v="270"/>
    <n v="260"/>
    <n v="350"/>
    <n v="94500"/>
    <n v="11340"/>
    <n v="83160"/>
    <n v="70200"/>
    <n v="12960"/>
    <d v="2024-02-01T00:00:00"/>
    <n v="2"/>
    <s v="February"/>
    <s v="2024"/>
    <x v="8"/>
    <n v="0.15584415584415584"/>
    <n v="0.12"/>
  </r>
  <r>
    <x v="0"/>
    <x v="2"/>
    <s v="Amarilla"/>
    <s v="High"/>
    <n v="3421.5"/>
    <n v="260"/>
    <n v="7"/>
    <n v="23950.5"/>
    <n v="2874.06"/>
    <n v="21076.44"/>
    <n v="17107.5"/>
    <n v="3968.9399999999987"/>
    <d v="2024-07-01T00:00:00"/>
    <n v="7"/>
    <s v="July"/>
    <s v="2024"/>
    <x v="4"/>
    <n v="0.18831168831168826"/>
    <n v="0.12"/>
  </r>
  <r>
    <x v="0"/>
    <x v="0"/>
    <s v="Amarilla"/>
    <s v="High"/>
    <n v="2734"/>
    <n v="260"/>
    <n v="7"/>
    <n v="19138"/>
    <n v="2296.56"/>
    <n v="16841.439999999999"/>
    <n v="13670"/>
    <n v="3171.4399999999987"/>
    <d v="2024-10-01T00:00:00"/>
    <n v="10"/>
    <s v="October"/>
    <s v="2024"/>
    <x v="10"/>
    <n v="0.18831168831168824"/>
    <n v="0.12"/>
  </r>
  <r>
    <x v="1"/>
    <x v="4"/>
    <s v="Amarilla"/>
    <s v="High"/>
    <n v="2548"/>
    <n v="260"/>
    <n v="15"/>
    <n v="38220"/>
    <n v="4586.3999999999996"/>
    <n v="33633.599999999999"/>
    <n v="25480"/>
    <n v="8153.5999999999985"/>
    <d v="2023-11-01T00:00:00"/>
    <n v="11"/>
    <s v="November"/>
    <s v="2023"/>
    <x v="11"/>
    <n v="0.2424242424242424"/>
    <n v="0.12"/>
  </r>
  <r>
    <x v="0"/>
    <x v="2"/>
    <s v="Carretera"/>
    <s v="High"/>
    <n v="2521.5"/>
    <n v="3"/>
    <n v="20"/>
    <n v="50430"/>
    <n v="6051.6"/>
    <n v="44378.399999999994"/>
    <n v="25215"/>
    <n v="19163.399999999998"/>
    <d v="2024-01-01T00:00:00"/>
    <n v="1"/>
    <s v="January"/>
    <s v="2024"/>
    <x v="0"/>
    <n v="0.43181818181818182"/>
    <n v="0.12000000000000001"/>
  </r>
  <r>
    <x v="2"/>
    <x v="3"/>
    <s v="Montana"/>
    <s v="High"/>
    <n v="2661"/>
    <n v="5"/>
    <n v="12"/>
    <n v="31932"/>
    <n v="3831.84"/>
    <n v="28100.16"/>
    <n v="7983"/>
    <n v="20117.16"/>
    <d v="2024-05-01T00:00:00"/>
    <n v="5"/>
    <s v="May"/>
    <s v="2024"/>
    <x v="14"/>
    <n v="0.71590909090909094"/>
    <n v="0.12000000000000001"/>
  </r>
  <r>
    <x v="0"/>
    <x v="1"/>
    <s v="Paseo"/>
    <s v="High"/>
    <n v="1531"/>
    <n v="10"/>
    <n v="20"/>
    <n v="30620"/>
    <n v="3674.4"/>
    <n v="26945.599999999999"/>
    <n v="15310"/>
    <n v="11635.599999999999"/>
    <d v="2024-12-01T00:00:00"/>
    <n v="12"/>
    <s v="December"/>
    <s v="2024"/>
    <x v="2"/>
    <n v="0.43181818181818177"/>
    <n v="0.12000000000000001"/>
  </r>
  <r>
    <x v="0"/>
    <x v="2"/>
    <s v="VTT"/>
    <s v="High"/>
    <n v="1491"/>
    <n v="250"/>
    <n v="7"/>
    <n v="10437"/>
    <n v="1252.44"/>
    <n v="9184.56"/>
    <n v="7455"/>
    <n v="1729.5599999999995"/>
    <d v="2024-03-01T00:00:00"/>
    <n v="3"/>
    <s v="March"/>
    <s v="2024"/>
    <x v="3"/>
    <n v="0.18831168831168826"/>
    <n v="0.12000000000000001"/>
  </r>
  <r>
    <x v="0"/>
    <x v="1"/>
    <s v="VTT"/>
    <s v="High"/>
    <n v="1531"/>
    <n v="250"/>
    <n v="20"/>
    <n v="30620"/>
    <n v="3674.4"/>
    <n v="26945.599999999999"/>
    <n v="15310"/>
    <n v="11635.599999999999"/>
    <d v="2024-12-01T00:00:00"/>
    <n v="12"/>
    <s v="December"/>
    <s v="2024"/>
    <x v="2"/>
    <n v="0.43181818181818177"/>
    <n v="0.12000000000000001"/>
  </r>
  <r>
    <x v="2"/>
    <x v="0"/>
    <s v="Amarilla"/>
    <s v="High"/>
    <n v="2761"/>
    <n v="260"/>
    <n v="12"/>
    <n v="33132"/>
    <n v="3975.84"/>
    <n v="29156.16"/>
    <n v="8283"/>
    <n v="20873.16"/>
    <d v="2023-09-01T00:00:00"/>
    <n v="9"/>
    <s v="September"/>
    <s v="2023"/>
    <x v="9"/>
    <n v="0.71590909090909094"/>
    <n v="0.12000000000000001"/>
  </r>
  <r>
    <x v="1"/>
    <x v="4"/>
    <s v="Carretera"/>
    <s v="High"/>
    <n v="2567"/>
    <n v="3"/>
    <n v="15"/>
    <n v="38505"/>
    <n v="5005.6499999999996"/>
    <n v="33499.35"/>
    <n v="25670"/>
    <n v="7829.3499999999985"/>
    <d v="2024-06-01T00:00:00"/>
    <n v="6"/>
    <s v="June"/>
    <s v="2024"/>
    <x v="1"/>
    <n v="0.23371647509578541"/>
    <n v="0.12999999999999998"/>
  </r>
  <r>
    <x v="1"/>
    <x v="4"/>
    <s v="VTT"/>
    <s v="High"/>
    <n v="2567"/>
    <n v="250"/>
    <n v="15"/>
    <n v="38505"/>
    <n v="5005.6499999999996"/>
    <n v="33499.35"/>
    <n v="25670"/>
    <n v="7829.3499999999985"/>
    <d v="2024-06-01T00:00:00"/>
    <n v="6"/>
    <s v="June"/>
    <s v="2024"/>
    <x v="1"/>
    <n v="0.23371647509578541"/>
    <n v="0.12999999999999998"/>
  </r>
  <r>
    <x v="0"/>
    <x v="0"/>
    <s v="Carretera"/>
    <s v="High"/>
    <n v="923"/>
    <n v="3"/>
    <n v="350"/>
    <n v="323050"/>
    <n v="41996.5"/>
    <n v="281053.5"/>
    <n v="239980"/>
    <n v="41073.5"/>
    <d v="2024-03-01T00:00:00"/>
    <n v="3"/>
    <s v="March"/>
    <s v="2024"/>
    <x v="3"/>
    <n v="0.14614121510673234"/>
    <n v="0.13"/>
  </r>
  <r>
    <x v="0"/>
    <x v="2"/>
    <s v="Carretera"/>
    <s v="High"/>
    <n v="1790"/>
    <n v="3"/>
    <n v="350"/>
    <n v="626500"/>
    <n v="81445"/>
    <n v="545055"/>
    <n v="465400"/>
    <n v="79655"/>
    <d v="2024-03-01T00:00:00"/>
    <n v="3"/>
    <s v="March"/>
    <s v="2024"/>
    <x v="3"/>
    <n v="0.14614121510673234"/>
    <n v="0.13"/>
  </r>
  <r>
    <x v="0"/>
    <x v="1"/>
    <s v="Carretera"/>
    <s v="High"/>
    <n v="442"/>
    <n v="3"/>
    <n v="20"/>
    <n v="8840"/>
    <n v="1149.2"/>
    <n v="7690.8"/>
    <n v="4420"/>
    <n v="3270.8"/>
    <d v="2023-09-01T00:00:00"/>
    <n v="9"/>
    <s v="September"/>
    <s v="2023"/>
    <x v="9"/>
    <n v="0.42528735632183912"/>
    <n v="0.13"/>
  </r>
  <r>
    <x v="0"/>
    <x v="4"/>
    <s v="Montana"/>
    <s v="High"/>
    <n v="982.5"/>
    <n v="5"/>
    <n v="350"/>
    <n v="343875"/>
    <n v="44703.75"/>
    <n v="299171.25"/>
    <n v="255450"/>
    <n v="43721.25"/>
    <d v="2024-01-01T00:00:00"/>
    <n v="1"/>
    <s v="January"/>
    <s v="2024"/>
    <x v="0"/>
    <n v="0.14614121510673234"/>
    <n v="0.13"/>
  </r>
  <r>
    <x v="0"/>
    <x v="4"/>
    <s v="Montana"/>
    <s v="High"/>
    <n v="1298"/>
    <n v="5"/>
    <n v="7"/>
    <n v="9086"/>
    <n v="1181.18"/>
    <n v="7904.82"/>
    <n v="6490"/>
    <n v="1414.8199999999997"/>
    <d v="2024-02-01T00:00:00"/>
    <n v="2"/>
    <s v="February"/>
    <s v="2024"/>
    <x v="8"/>
    <n v="0.17898193760262723"/>
    <n v="0.13"/>
  </r>
  <r>
    <x v="2"/>
    <x v="3"/>
    <s v="Montana"/>
    <s v="High"/>
    <n v="604"/>
    <n v="5"/>
    <n v="12"/>
    <n v="7248"/>
    <n v="942.24"/>
    <n v="6305.76"/>
    <n v="1812"/>
    <n v="4493.76"/>
    <d v="2024-06-01T00:00:00"/>
    <n v="6"/>
    <s v="June"/>
    <s v="2024"/>
    <x v="1"/>
    <n v="0.71264367816091956"/>
    <n v="0.13"/>
  </r>
  <r>
    <x v="0"/>
    <x v="3"/>
    <s v="Montana"/>
    <s v="High"/>
    <n v="2255"/>
    <n v="5"/>
    <n v="20"/>
    <n v="45100"/>
    <n v="5863"/>
    <n v="39237"/>
    <n v="22550"/>
    <n v="16687"/>
    <d v="2024-07-01T00:00:00"/>
    <n v="7"/>
    <s v="July"/>
    <s v="2024"/>
    <x v="4"/>
    <n v="0.42528735632183906"/>
    <n v="0.13"/>
  </r>
  <r>
    <x v="0"/>
    <x v="0"/>
    <s v="Montana"/>
    <s v="High"/>
    <n v="1249"/>
    <n v="5"/>
    <n v="20"/>
    <n v="24980"/>
    <n v="3247.4"/>
    <n v="21732.6"/>
    <n v="12490"/>
    <n v="9242.5999999999985"/>
    <d v="2024-10-01T00:00:00"/>
    <n v="10"/>
    <s v="October"/>
    <s v="2024"/>
    <x v="10"/>
    <n v="0.42528735632183906"/>
    <n v="0.13"/>
  </r>
  <r>
    <x v="0"/>
    <x v="4"/>
    <s v="Paseo"/>
    <s v="High"/>
    <n v="1438.5"/>
    <n v="10"/>
    <n v="7"/>
    <n v="10069.5"/>
    <n v="1309.0350000000001"/>
    <n v="8760.4650000000001"/>
    <n v="7192.5"/>
    <n v="1567.9649999999992"/>
    <d v="2024-01-01T00:00:00"/>
    <n v="1"/>
    <s v="January"/>
    <s v="2024"/>
    <x v="0"/>
    <n v="0.17898193760262718"/>
    <n v="0.13"/>
  </r>
  <r>
    <x v="4"/>
    <x v="1"/>
    <s v="Paseo"/>
    <s v="High"/>
    <n v="807"/>
    <n v="10"/>
    <n v="300"/>
    <n v="242100"/>
    <n v="31473"/>
    <n v="210627"/>
    <n v="201750"/>
    <n v="8877"/>
    <d v="2024-01-01T00:00:00"/>
    <n v="1"/>
    <s v="January"/>
    <s v="2024"/>
    <x v="0"/>
    <n v="4.2145593869731802E-2"/>
    <n v="0.13"/>
  </r>
  <r>
    <x v="0"/>
    <x v="4"/>
    <s v="Paseo"/>
    <s v="High"/>
    <n v="2641"/>
    <n v="10"/>
    <n v="20"/>
    <n v="52820"/>
    <n v="6866.6"/>
    <n v="45953.4"/>
    <n v="26410"/>
    <n v="19543.400000000001"/>
    <d v="2024-02-01T00:00:00"/>
    <n v="2"/>
    <s v="February"/>
    <s v="2024"/>
    <x v="8"/>
    <n v="0.42528735632183912"/>
    <n v="0.13"/>
  </r>
  <r>
    <x v="0"/>
    <x v="1"/>
    <s v="Paseo"/>
    <s v="High"/>
    <n v="2708"/>
    <n v="10"/>
    <n v="20"/>
    <n v="54160"/>
    <n v="7040.8"/>
    <n v="47119.199999999997"/>
    <n v="27080"/>
    <n v="20039.199999999997"/>
    <d v="2024-02-01T00:00:00"/>
    <n v="2"/>
    <s v="February"/>
    <s v="2024"/>
    <x v="8"/>
    <n v="0.42528735632183906"/>
    <n v="0.13"/>
  </r>
  <r>
    <x v="0"/>
    <x v="0"/>
    <s v="Paseo"/>
    <s v="High"/>
    <n v="2632"/>
    <n v="10"/>
    <n v="350"/>
    <n v="921200"/>
    <n v="119756"/>
    <n v="801444"/>
    <n v="684320"/>
    <n v="117124"/>
    <d v="2024-06-01T00:00:00"/>
    <n v="6"/>
    <s v="June"/>
    <s v="2024"/>
    <x v="1"/>
    <n v="0.14614121510673234"/>
    <n v="0.13"/>
  </r>
  <r>
    <x v="3"/>
    <x v="0"/>
    <s v="Paseo"/>
    <s v="High"/>
    <n v="1583"/>
    <n v="10"/>
    <n v="125"/>
    <n v="197875"/>
    <n v="25723.75"/>
    <n v="172151.25"/>
    <n v="189960"/>
    <n v="-17808.75"/>
    <d v="2024-06-01T00:00:00"/>
    <n v="6"/>
    <s v="June"/>
    <s v="2024"/>
    <x v="1"/>
    <n v="-0.10344827586206896"/>
    <n v="0.13"/>
  </r>
  <r>
    <x v="2"/>
    <x v="3"/>
    <s v="Paseo"/>
    <s v="High"/>
    <n v="571"/>
    <n v="10"/>
    <n v="12"/>
    <n v="6852"/>
    <n v="890.76"/>
    <n v="5961.24"/>
    <n v="1713"/>
    <n v="4248.24"/>
    <d v="2024-07-01T00:00:00"/>
    <n v="7"/>
    <s v="July"/>
    <s v="2024"/>
    <x v="4"/>
    <n v="0.71264367816091956"/>
    <n v="0.13"/>
  </r>
  <r>
    <x v="0"/>
    <x v="2"/>
    <s v="Paseo"/>
    <s v="High"/>
    <n v="2696"/>
    <n v="10"/>
    <n v="7"/>
    <n v="18872"/>
    <n v="2453.36"/>
    <n v="16418.64"/>
    <n v="13480"/>
    <n v="2938.6399999999994"/>
    <d v="2024-08-01T00:00:00"/>
    <n v="8"/>
    <s v="August"/>
    <s v="2024"/>
    <x v="5"/>
    <n v="0.17898193760262723"/>
    <n v="0.13"/>
  </r>
  <r>
    <x v="1"/>
    <x v="0"/>
    <s v="Paseo"/>
    <s v="High"/>
    <n v="1565"/>
    <n v="10"/>
    <n v="15"/>
    <n v="23475"/>
    <n v="3051.75"/>
    <n v="20423.25"/>
    <n v="15650"/>
    <n v="4773.25"/>
    <d v="2024-10-01T00:00:00"/>
    <n v="10"/>
    <s v="October"/>
    <s v="2024"/>
    <x v="10"/>
    <n v="0.23371647509578544"/>
    <n v="0.13"/>
  </r>
  <r>
    <x v="0"/>
    <x v="0"/>
    <s v="Paseo"/>
    <s v="High"/>
    <n v="1249"/>
    <n v="10"/>
    <n v="20"/>
    <n v="24980"/>
    <n v="3247.4"/>
    <n v="21732.6"/>
    <n v="12490"/>
    <n v="9242.5999999999985"/>
    <d v="2024-10-01T00:00:00"/>
    <n v="10"/>
    <s v="October"/>
    <s v="2024"/>
    <x v="10"/>
    <n v="0.42528735632183906"/>
    <n v="0.13"/>
  </r>
  <r>
    <x v="0"/>
    <x v="1"/>
    <s v="Paseo"/>
    <s v="High"/>
    <n v="357"/>
    <n v="10"/>
    <n v="350"/>
    <n v="124950"/>
    <n v="16243.5"/>
    <n v="108706.5"/>
    <n v="92820"/>
    <n v="15886.5"/>
    <d v="2024-11-01T00:00:00"/>
    <n v="11"/>
    <s v="November"/>
    <s v="2024"/>
    <x v="15"/>
    <n v="0.14614121510673234"/>
    <n v="0.13"/>
  </r>
  <r>
    <x v="2"/>
    <x v="1"/>
    <s v="Paseo"/>
    <s v="High"/>
    <n v="1013"/>
    <n v="10"/>
    <n v="12"/>
    <n v="12156"/>
    <n v="1580.28"/>
    <n v="10575.72"/>
    <n v="3039"/>
    <n v="7536.7199999999993"/>
    <d v="2024-12-01T00:00:00"/>
    <n v="12"/>
    <s v="December"/>
    <s v="2024"/>
    <x v="2"/>
    <n v="0.71264367816091956"/>
    <n v="0.13"/>
  </r>
  <r>
    <x v="1"/>
    <x v="2"/>
    <s v="Velo"/>
    <s v="High"/>
    <n v="3997.5"/>
    <n v="120"/>
    <n v="15"/>
    <n v="59962.5"/>
    <n v="7795.125"/>
    <n v="52167.375"/>
    <n v="39975"/>
    <n v="12192.375"/>
    <d v="2024-01-01T00:00:00"/>
    <n v="1"/>
    <s v="January"/>
    <s v="2024"/>
    <x v="0"/>
    <n v="0.23371647509578544"/>
    <n v="0.13"/>
  </r>
  <r>
    <x v="0"/>
    <x v="0"/>
    <s v="Velo"/>
    <s v="High"/>
    <n v="2632"/>
    <n v="120"/>
    <n v="350"/>
    <n v="921200"/>
    <n v="119756"/>
    <n v="801444"/>
    <n v="684320"/>
    <n v="117124"/>
    <d v="2024-06-01T00:00:00"/>
    <n v="6"/>
    <s v="June"/>
    <s v="2024"/>
    <x v="1"/>
    <n v="0.14614121510673234"/>
    <n v="0.13"/>
  </r>
  <r>
    <x v="0"/>
    <x v="2"/>
    <s v="Velo"/>
    <s v="High"/>
    <n v="1190"/>
    <n v="120"/>
    <n v="7"/>
    <n v="8330"/>
    <n v="1082.9000000000001"/>
    <n v="7247.1"/>
    <n v="5950"/>
    <n v="1297.1000000000004"/>
    <d v="2024-06-01T00:00:00"/>
    <n v="6"/>
    <s v="June"/>
    <s v="2024"/>
    <x v="1"/>
    <n v="0.17898193760262729"/>
    <n v="0.13"/>
  </r>
  <r>
    <x v="2"/>
    <x v="3"/>
    <s v="Velo"/>
    <s v="High"/>
    <n v="604"/>
    <n v="120"/>
    <n v="12"/>
    <n v="7248"/>
    <n v="942.24"/>
    <n v="6305.76"/>
    <n v="1812"/>
    <n v="4493.76"/>
    <d v="2024-06-01T00:00:00"/>
    <n v="6"/>
    <s v="June"/>
    <s v="2024"/>
    <x v="1"/>
    <n v="0.71264367816091956"/>
    <n v="0.13"/>
  </r>
  <r>
    <x v="1"/>
    <x v="1"/>
    <s v="Velo"/>
    <s v="High"/>
    <n v="660"/>
    <n v="120"/>
    <n v="15"/>
    <n v="9900"/>
    <n v="1287"/>
    <n v="8613"/>
    <n v="6600"/>
    <n v="2023"/>
    <d v="2023-09-01T00:00:00"/>
    <n v="9"/>
    <s v="September"/>
    <s v="2023"/>
    <x v="9"/>
    <n v="0.23487751073957971"/>
    <n v="0.13"/>
  </r>
  <r>
    <x v="2"/>
    <x v="3"/>
    <s v="Velo"/>
    <s v="High"/>
    <n v="410"/>
    <n v="120"/>
    <n v="12"/>
    <n v="4920"/>
    <n v="639.6"/>
    <n v="4280.3999999999996"/>
    <n v="1230"/>
    <n v="3050.3999999999996"/>
    <d v="2024-10-01T00:00:00"/>
    <n v="10"/>
    <s v="October"/>
    <s v="2024"/>
    <x v="10"/>
    <n v="0.71264367816091956"/>
    <n v="0.13"/>
  </r>
  <r>
    <x v="4"/>
    <x v="3"/>
    <s v="Velo"/>
    <s v="High"/>
    <n v="2605"/>
    <n v="120"/>
    <n v="300"/>
    <n v="781500"/>
    <n v="101595"/>
    <n v="679905"/>
    <n v="651250"/>
    <n v="28655"/>
    <d v="2023-11-01T00:00:00"/>
    <n v="11"/>
    <s v="November"/>
    <s v="2023"/>
    <x v="11"/>
    <n v="4.2145593869731802E-2"/>
    <n v="0.13"/>
  </r>
  <r>
    <x v="2"/>
    <x v="1"/>
    <s v="Velo"/>
    <s v="High"/>
    <n v="1013"/>
    <n v="120"/>
    <n v="12"/>
    <n v="12156"/>
    <n v="1580.28"/>
    <n v="10575.72"/>
    <n v="3039"/>
    <n v="7536.7199999999993"/>
    <d v="2024-12-01T00:00:00"/>
    <n v="12"/>
    <s v="December"/>
    <s v="2024"/>
    <x v="2"/>
    <n v="0.71264367816091956"/>
    <n v="0.13"/>
  </r>
  <r>
    <x v="3"/>
    <x v="0"/>
    <s v="VTT"/>
    <s v="High"/>
    <n v="1583"/>
    <n v="250"/>
    <n v="125"/>
    <n v="197875"/>
    <n v="25723.75"/>
    <n v="172151.25"/>
    <n v="189960"/>
    <n v="-17808.75"/>
    <d v="2024-06-01T00:00:00"/>
    <n v="6"/>
    <s v="June"/>
    <s v="2024"/>
    <x v="1"/>
    <n v="-0.10344827586206896"/>
    <n v="0.13"/>
  </r>
  <r>
    <x v="1"/>
    <x v="0"/>
    <s v="VTT"/>
    <s v="High"/>
    <n v="1565"/>
    <n v="250"/>
    <n v="15"/>
    <n v="23475"/>
    <n v="3051.75"/>
    <n v="20423.25"/>
    <n v="15650"/>
    <n v="4773.25"/>
    <d v="2024-10-01T00:00:00"/>
    <n v="10"/>
    <s v="October"/>
    <s v="2024"/>
    <x v="10"/>
    <n v="0.23371647509578544"/>
    <n v="0.13"/>
  </r>
  <r>
    <x v="3"/>
    <x v="0"/>
    <s v="Amarilla"/>
    <s v="High"/>
    <n v="1659"/>
    <n v="260"/>
    <n v="125"/>
    <n v="207375"/>
    <n v="26958.75"/>
    <n v="180416.25"/>
    <n v="199080"/>
    <n v="-18663.75"/>
    <d v="2024-01-01T00:00:00"/>
    <n v="1"/>
    <s v="January"/>
    <s v="2024"/>
    <x v="0"/>
    <n v="-0.10344827586206896"/>
    <n v="0.13"/>
  </r>
  <r>
    <x v="0"/>
    <x v="2"/>
    <s v="Amarilla"/>
    <s v="High"/>
    <n v="1190"/>
    <n v="260"/>
    <n v="7"/>
    <n v="8330"/>
    <n v="1082.9000000000001"/>
    <n v="7247.1"/>
    <n v="5950"/>
    <n v="1297.1000000000004"/>
    <d v="2024-06-01T00:00:00"/>
    <n v="6"/>
    <s v="June"/>
    <s v="2024"/>
    <x v="1"/>
    <n v="0.17898193760262729"/>
    <n v="0.13"/>
  </r>
  <r>
    <x v="2"/>
    <x v="3"/>
    <s v="Amarilla"/>
    <s v="High"/>
    <n v="410"/>
    <n v="260"/>
    <n v="12"/>
    <n v="4920"/>
    <n v="639.6"/>
    <n v="4280.3999999999996"/>
    <n v="1230"/>
    <n v="3050.3999999999996"/>
    <d v="2024-10-01T00:00:00"/>
    <n v="10"/>
    <s v="October"/>
    <s v="2024"/>
    <x v="10"/>
    <n v="0.71264367816091956"/>
    <n v="0.13"/>
  </r>
  <r>
    <x v="2"/>
    <x v="1"/>
    <s v="Amarilla"/>
    <s v="High"/>
    <n v="1770"/>
    <n v="260"/>
    <n v="12"/>
    <n v="21240"/>
    <n v="2761.2"/>
    <n v="18478.8"/>
    <n v="5310"/>
    <n v="13168.8"/>
    <d v="2023-12-01T00:00:00"/>
    <n v="12"/>
    <s v="December"/>
    <s v="2023"/>
    <x v="12"/>
    <n v="0.71264367816091956"/>
    <n v="0.13"/>
  </r>
  <r>
    <x v="0"/>
    <x v="3"/>
    <s v="Carretera"/>
    <s v="High"/>
    <n v="2579"/>
    <n v="3"/>
    <n v="20"/>
    <n v="51580"/>
    <n v="7221.2"/>
    <n v="44358.8"/>
    <n v="25790"/>
    <n v="18568.800000000003"/>
    <d v="2024-04-01T00:00:00"/>
    <n v="4"/>
    <s v="April"/>
    <s v="2024"/>
    <x v="13"/>
    <n v="0.41860465116279072"/>
    <n v="0.13999999999999999"/>
  </r>
  <r>
    <x v="0"/>
    <x v="4"/>
    <s v="Carretera"/>
    <s v="High"/>
    <n v="1743"/>
    <n v="3"/>
    <n v="20"/>
    <n v="34860"/>
    <n v="4880.3999999999996"/>
    <n v="29979.599999999999"/>
    <n v="17430"/>
    <n v="12549.599999999999"/>
    <d v="2024-05-01T00:00:00"/>
    <n v="5"/>
    <s v="May"/>
    <s v="2024"/>
    <x v="14"/>
    <n v="0.41860465116279066"/>
    <n v="0.13999999999999999"/>
  </r>
  <r>
    <x v="0"/>
    <x v="4"/>
    <s v="Carretera"/>
    <s v="High"/>
    <n v="2996"/>
    <n v="3"/>
    <n v="7"/>
    <n v="20972"/>
    <n v="2936.08"/>
    <n v="18035.919999999998"/>
    <n v="14980"/>
    <n v="3055.9199999999983"/>
    <d v="2023-10-01T00:00:00"/>
    <n v="10"/>
    <s v="October"/>
    <s v="2023"/>
    <x v="7"/>
    <n v="0.16943521594684377"/>
    <n v="0.13999999999999999"/>
  </r>
  <r>
    <x v="0"/>
    <x v="1"/>
    <s v="Carretera"/>
    <s v="High"/>
    <n v="280"/>
    <n v="3"/>
    <n v="7"/>
    <n v="1960"/>
    <n v="274.39999999999998"/>
    <n v="1685.6"/>
    <n v="1400"/>
    <n v="285.59999999999991"/>
    <d v="2024-12-01T00:00:00"/>
    <n v="12"/>
    <s v="December"/>
    <s v="2024"/>
    <x v="2"/>
    <n v="0.1694352159468438"/>
    <n v="0.13999999999999999"/>
  </r>
  <r>
    <x v="0"/>
    <x v="2"/>
    <s v="Montana"/>
    <s v="High"/>
    <n v="293"/>
    <n v="5"/>
    <n v="7"/>
    <n v="2051"/>
    <n v="287.14"/>
    <n v="1763.8600000000001"/>
    <n v="1465"/>
    <n v="298.86000000000013"/>
    <d v="2024-02-01T00:00:00"/>
    <n v="2"/>
    <s v="February"/>
    <s v="2024"/>
    <x v="8"/>
    <n v="0.16943521594684391"/>
    <n v="0.13999999999999999"/>
  </r>
  <r>
    <x v="0"/>
    <x v="4"/>
    <s v="Montana"/>
    <s v="High"/>
    <n v="2996"/>
    <n v="5"/>
    <n v="7"/>
    <n v="20972"/>
    <n v="2936.08"/>
    <n v="18035.919999999998"/>
    <n v="14980"/>
    <n v="3055.9199999999983"/>
    <d v="2023-10-01T00:00:00"/>
    <n v="10"/>
    <s v="October"/>
    <s v="2023"/>
    <x v="7"/>
    <n v="0.16943521594684377"/>
    <n v="0.13999999999999999"/>
  </r>
  <r>
    <x v="1"/>
    <x v="1"/>
    <s v="Paseo"/>
    <s v="High"/>
    <n v="278"/>
    <n v="10"/>
    <n v="15"/>
    <n v="4170"/>
    <n v="583.79999999999995"/>
    <n v="3586.2"/>
    <n v="2780"/>
    <n v="806.19999999999982"/>
    <d v="2024-02-01T00:00:00"/>
    <n v="2"/>
    <s v="February"/>
    <s v="2024"/>
    <x v="8"/>
    <n v="0.22480620155038755"/>
    <n v="0.13999999999999999"/>
  </r>
  <r>
    <x v="0"/>
    <x v="0"/>
    <s v="Paseo"/>
    <s v="High"/>
    <n v="2428"/>
    <n v="10"/>
    <n v="20"/>
    <n v="48560"/>
    <n v="6798.4"/>
    <n v="41761.599999999999"/>
    <n v="24280"/>
    <n v="17481.599999999999"/>
    <d v="2024-03-01T00:00:00"/>
    <n v="3"/>
    <s v="March"/>
    <s v="2024"/>
    <x v="3"/>
    <n v="0.41860465116279066"/>
    <n v="0.13999999999999999"/>
  </r>
  <r>
    <x v="1"/>
    <x v="4"/>
    <s v="Paseo"/>
    <s v="High"/>
    <n v="1767"/>
    <n v="10"/>
    <n v="15"/>
    <n v="26505"/>
    <n v="3710.7"/>
    <n v="22794.3"/>
    <n v="17670"/>
    <n v="5124.2999999999993"/>
    <d v="2024-09-01T00:00:00"/>
    <n v="9"/>
    <s v="September"/>
    <s v="2024"/>
    <x v="6"/>
    <n v="0.22480620155038758"/>
    <n v="0.13999999999999999"/>
  </r>
  <r>
    <x v="2"/>
    <x v="2"/>
    <s v="Paseo"/>
    <s v="High"/>
    <n v="1393"/>
    <n v="10"/>
    <n v="12"/>
    <n v="16716"/>
    <n v="2340.2399999999998"/>
    <n v="14375.76"/>
    <n v="4179"/>
    <n v="10196.76"/>
    <d v="2024-10-01T00:00:00"/>
    <n v="10"/>
    <s v="October"/>
    <s v="2024"/>
    <x v="10"/>
    <n v="0.70930232558139539"/>
    <n v="0.13999999999999999"/>
  </r>
  <r>
    <x v="0"/>
    <x v="1"/>
    <s v="VTT"/>
    <s v="High"/>
    <n v="280"/>
    <n v="250"/>
    <n v="7"/>
    <n v="1960"/>
    <n v="274.39999999999998"/>
    <n v="1685.6"/>
    <n v="1400"/>
    <n v="285.59999999999991"/>
    <d v="2024-12-01T00:00:00"/>
    <n v="12"/>
    <s v="December"/>
    <s v="2024"/>
    <x v="2"/>
    <n v="0.1694352159468438"/>
    <n v="0.13999999999999999"/>
  </r>
  <r>
    <x v="2"/>
    <x v="2"/>
    <s v="Amarilla"/>
    <s v="High"/>
    <n v="1393"/>
    <n v="260"/>
    <n v="12"/>
    <n v="16716"/>
    <n v="2340.2399999999998"/>
    <n v="14375.76"/>
    <n v="4179"/>
    <n v="10196.76"/>
    <d v="2024-10-01T00:00:00"/>
    <n v="10"/>
    <s v="October"/>
    <s v="2024"/>
    <x v="10"/>
    <n v="0.70930232558139539"/>
    <n v="0.13999999999999999"/>
  </r>
  <r>
    <x v="2"/>
    <x v="4"/>
    <s v="Amarilla"/>
    <s v="High"/>
    <n v="2015"/>
    <n v="260"/>
    <n v="12"/>
    <n v="24180"/>
    <n v="3385.2"/>
    <n v="20794.8"/>
    <n v="6045"/>
    <n v="14749.8"/>
    <d v="2023-12-01T00:00:00"/>
    <n v="12"/>
    <s v="December"/>
    <s v="2023"/>
    <x v="12"/>
    <n v="0.70930232558139539"/>
    <n v="0.13999999999999999"/>
  </r>
  <r>
    <x v="4"/>
    <x v="3"/>
    <s v="Carretera"/>
    <s v="High"/>
    <n v="801"/>
    <n v="3"/>
    <n v="300"/>
    <n v="240300"/>
    <n v="33642"/>
    <n v="206658"/>
    <n v="200250"/>
    <n v="6408"/>
    <d v="2024-07-01T00:00:00"/>
    <n v="7"/>
    <s v="July"/>
    <s v="2024"/>
    <x v="4"/>
    <n v="3.1007751937984496E-2"/>
    <n v="0.14000000000000001"/>
  </r>
  <r>
    <x v="3"/>
    <x v="2"/>
    <s v="Carretera"/>
    <s v="High"/>
    <n v="1023"/>
    <n v="3"/>
    <n v="125"/>
    <n v="127875"/>
    <n v="17902.5"/>
    <n v="109972.5"/>
    <n v="122760"/>
    <n v="-12787.5"/>
    <d v="2023-09-01T00:00:00"/>
    <n v="9"/>
    <s v="September"/>
    <s v="2023"/>
    <x v="9"/>
    <n v="-0.11627906976744186"/>
    <n v="0.14000000000000001"/>
  </r>
  <r>
    <x v="4"/>
    <x v="0"/>
    <s v="Carretera"/>
    <s v="High"/>
    <n v="1496"/>
    <n v="3"/>
    <n v="300"/>
    <n v="448800"/>
    <n v="62832"/>
    <n v="385968"/>
    <n v="374000"/>
    <n v="11968"/>
    <d v="2024-10-01T00:00:00"/>
    <n v="10"/>
    <s v="October"/>
    <s v="2024"/>
    <x v="10"/>
    <n v="3.1007751937984496E-2"/>
    <n v="0.14000000000000001"/>
  </r>
  <r>
    <x v="4"/>
    <x v="4"/>
    <s v="Carretera"/>
    <s v="High"/>
    <n v="1010"/>
    <n v="3"/>
    <n v="300"/>
    <n v="303000"/>
    <n v="42420"/>
    <n v="260580"/>
    <n v="252500"/>
    <n v="8080"/>
    <d v="2024-10-01T00:00:00"/>
    <n v="10"/>
    <s v="October"/>
    <s v="2024"/>
    <x v="10"/>
    <n v="3.1007751937984496E-2"/>
    <n v="0.14000000000000001"/>
  </r>
  <r>
    <x v="1"/>
    <x v="1"/>
    <s v="Carretera"/>
    <s v="High"/>
    <n v="1513"/>
    <n v="3"/>
    <n v="15"/>
    <n v="22695"/>
    <n v="3177.3"/>
    <n v="19517.7"/>
    <n v="15130"/>
    <n v="4387.7000000000007"/>
    <d v="2024-11-01T00:00:00"/>
    <n v="11"/>
    <s v="November"/>
    <s v="2024"/>
    <x v="15"/>
    <n v="0.22480620155038764"/>
    <n v="0.14000000000000001"/>
  </r>
  <r>
    <x v="1"/>
    <x v="0"/>
    <s v="Carretera"/>
    <s v="High"/>
    <n v="2300"/>
    <n v="3"/>
    <n v="15"/>
    <n v="34500"/>
    <n v="4830"/>
    <n v="29670"/>
    <n v="23000"/>
    <n v="6670"/>
    <d v="2024-12-01T00:00:00"/>
    <n v="12"/>
    <s v="December"/>
    <s v="2024"/>
    <x v="2"/>
    <n v="0.22480620155038761"/>
    <n v="0.14000000000000001"/>
  </r>
  <r>
    <x v="3"/>
    <x v="3"/>
    <s v="Carretera"/>
    <s v="High"/>
    <n v="2821"/>
    <n v="3"/>
    <n v="125"/>
    <n v="352625"/>
    <n v="49367.5"/>
    <n v="303257.5"/>
    <n v="338520"/>
    <n v="-35262.5"/>
    <d v="2023-12-01T00:00:00"/>
    <n v="12"/>
    <s v="December"/>
    <s v="2023"/>
    <x v="12"/>
    <n v="-0.11627906976744186"/>
    <n v="0.14000000000000001"/>
  </r>
  <r>
    <x v="0"/>
    <x v="0"/>
    <s v="Montana"/>
    <s v="High"/>
    <n v="2227.5"/>
    <n v="5"/>
    <n v="350"/>
    <n v="779625"/>
    <n v="109147.5"/>
    <n v="670477.5"/>
    <n v="579150"/>
    <n v="91327.5"/>
    <d v="2024-01-01T00:00:00"/>
    <n v="1"/>
    <s v="January"/>
    <s v="2024"/>
    <x v="0"/>
    <n v="0.13621262458471761"/>
    <n v="0.14000000000000001"/>
  </r>
  <r>
    <x v="0"/>
    <x v="1"/>
    <s v="Montana"/>
    <s v="High"/>
    <n v="1199"/>
    <n v="5"/>
    <n v="350"/>
    <n v="419650"/>
    <n v="58751"/>
    <n v="360899"/>
    <n v="311740"/>
    <n v="49159"/>
    <d v="2024-04-01T00:00:00"/>
    <n v="4"/>
    <s v="April"/>
    <s v="2024"/>
    <x v="13"/>
    <n v="0.13621262458471761"/>
    <n v="0.14000000000000001"/>
  </r>
  <r>
    <x v="0"/>
    <x v="0"/>
    <s v="Montana"/>
    <s v="High"/>
    <n v="200"/>
    <n v="5"/>
    <n v="350"/>
    <n v="70000"/>
    <n v="9800"/>
    <n v="60200"/>
    <n v="52000"/>
    <n v="8200"/>
    <d v="2024-05-01T00:00:00"/>
    <n v="5"/>
    <s v="May"/>
    <s v="2024"/>
    <x v="14"/>
    <n v="0.13621262458471761"/>
    <n v="0.14000000000000001"/>
  </r>
  <r>
    <x v="0"/>
    <x v="0"/>
    <s v="Montana"/>
    <s v="High"/>
    <n v="388"/>
    <n v="5"/>
    <n v="7"/>
    <n v="2716"/>
    <n v="380.24"/>
    <n v="2335.7600000000002"/>
    <n v="1940"/>
    <n v="395.76000000000022"/>
    <d v="2024-09-01T00:00:00"/>
    <n v="9"/>
    <s v="September"/>
    <s v="2024"/>
    <x v="6"/>
    <n v="0.16943521594684394"/>
    <n v="0.14000000000000001"/>
  </r>
  <r>
    <x v="0"/>
    <x v="3"/>
    <s v="Montana"/>
    <s v="High"/>
    <n v="1727"/>
    <n v="5"/>
    <n v="7"/>
    <n v="12089"/>
    <n v="1692.46"/>
    <n v="10396.540000000001"/>
    <n v="8635"/>
    <n v="1761.5400000000009"/>
    <d v="2023-10-01T00:00:00"/>
    <n v="10"/>
    <s v="October"/>
    <s v="2023"/>
    <x v="7"/>
    <n v="0.16943521594684394"/>
    <n v="0.14000000000000001"/>
  </r>
  <r>
    <x v="1"/>
    <x v="0"/>
    <s v="Montana"/>
    <s v="High"/>
    <n v="2300"/>
    <n v="5"/>
    <n v="15"/>
    <n v="34500"/>
    <n v="4830"/>
    <n v="29670"/>
    <n v="23000"/>
    <n v="6670"/>
    <d v="2024-12-01T00:00:00"/>
    <n v="12"/>
    <s v="December"/>
    <s v="2024"/>
    <x v="2"/>
    <n v="0.22480620155038761"/>
    <n v="0.14000000000000001"/>
  </r>
  <r>
    <x v="0"/>
    <x v="3"/>
    <s v="Paseo"/>
    <s v="High"/>
    <n v="260"/>
    <n v="10"/>
    <n v="20"/>
    <n v="5200"/>
    <n v="728"/>
    <n v="4472"/>
    <n v="2600"/>
    <n v="1872"/>
    <d v="2024-02-01T00:00:00"/>
    <n v="2"/>
    <s v="February"/>
    <s v="2024"/>
    <x v="8"/>
    <n v="0.41860465116279072"/>
    <n v="0.14000000000000001"/>
  </r>
  <r>
    <x v="1"/>
    <x v="0"/>
    <s v="Paseo"/>
    <s v="High"/>
    <n v="2470"/>
    <n v="10"/>
    <n v="15"/>
    <n v="37050"/>
    <n v="5187"/>
    <n v="31863"/>
    <n v="24700"/>
    <n v="7163"/>
    <d v="2023-09-01T00:00:00"/>
    <n v="9"/>
    <s v="September"/>
    <s v="2023"/>
    <x v="9"/>
    <n v="0.22480620155038761"/>
    <n v="0.14000000000000001"/>
  </r>
  <r>
    <x v="1"/>
    <x v="0"/>
    <s v="Paseo"/>
    <s v="High"/>
    <n v="1743"/>
    <n v="10"/>
    <n v="15"/>
    <n v="26145"/>
    <n v="3660.3"/>
    <n v="22484.7"/>
    <n v="17430"/>
    <n v="5054.7000000000007"/>
    <d v="2023-10-01T00:00:00"/>
    <n v="10"/>
    <s v="October"/>
    <s v="2023"/>
    <x v="7"/>
    <n v="0.22480620155038764"/>
    <n v="0.14000000000000001"/>
  </r>
  <r>
    <x v="2"/>
    <x v="4"/>
    <s v="Paseo"/>
    <s v="High"/>
    <n v="2914"/>
    <n v="10"/>
    <n v="12"/>
    <n v="34968"/>
    <n v="4895.5200000000004"/>
    <n v="30072.48"/>
    <n v="8742"/>
    <n v="21330.48"/>
    <d v="2024-10-01T00:00:00"/>
    <n v="10"/>
    <s v="October"/>
    <s v="2024"/>
    <x v="10"/>
    <n v="0.70930232558139539"/>
    <n v="0.14000000000000001"/>
  </r>
  <r>
    <x v="0"/>
    <x v="2"/>
    <s v="Paseo"/>
    <s v="High"/>
    <n v="1731"/>
    <n v="10"/>
    <n v="7"/>
    <n v="12117"/>
    <n v="1696.38"/>
    <n v="10420.619999999999"/>
    <n v="8655"/>
    <n v="1765.619999999999"/>
    <d v="2024-10-01T00:00:00"/>
    <n v="10"/>
    <s v="October"/>
    <s v="2024"/>
    <x v="10"/>
    <n v="0.16943521594684377"/>
    <n v="0.14000000000000001"/>
  </r>
  <r>
    <x v="0"/>
    <x v="0"/>
    <s v="Paseo"/>
    <s v="High"/>
    <n v="700"/>
    <n v="10"/>
    <n v="350"/>
    <n v="245000"/>
    <n v="34300"/>
    <n v="210700"/>
    <n v="182000"/>
    <n v="28700"/>
    <d v="2024-11-01T00:00:00"/>
    <n v="11"/>
    <s v="November"/>
    <s v="2024"/>
    <x v="15"/>
    <n v="0.13621262458471761"/>
    <n v="0.14000000000000001"/>
  </r>
  <r>
    <x v="2"/>
    <x v="0"/>
    <s v="Paseo"/>
    <s v="High"/>
    <n v="2222"/>
    <n v="10"/>
    <n v="12"/>
    <n v="26664"/>
    <n v="3732.96"/>
    <n v="22931.040000000001"/>
    <n v="6666"/>
    <n v="16265.04"/>
    <d v="2023-11-01T00:00:00"/>
    <n v="11"/>
    <s v="November"/>
    <s v="2023"/>
    <x v="11"/>
    <n v="0.70930232558139539"/>
    <n v="0.14000000000000001"/>
  </r>
  <r>
    <x v="0"/>
    <x v="4"/>
    <s v="Paseo"/>
    <s v="High"/>
    <n v="1177"/>
    <n v="10"/>
    <n v="350"/>
    <n v="411950"/>
    <n v="57673"/>
    <n v="354277"/>
    <n v="306020"/>
    <n v="48257"/>
    <d v="2024-11-01T00:00:00"/>
    <n v="11"/>
    <s v="November"/>
    <s v="2024"/>
    <x v="15"/>
    <n v="0.13621262458471761"/>
    <n v="0.14000000000000001"/>
  </r>
  <r>
    <x v="0"/>
    <x v="2"/>
    <s v="Paseo"/>
    <s v="High"/>
    <n v="1922"/>
    <n v="10"/>
    <n v="350"/>
    <n v="672700"/>
    <n v="94178"/>
    <n v="578522"/>
    <n v="499720"/>
    <n v="78802"/>
    <d v="2023-11-01T00:00:00"/>
    <n v="11"/>
    <s v="November"/>
    <s v="2023"/>
    <x v="11"/>
    <n v="0.13621262458471761"/>
    <n v="0.14000000000000001"/>
  </r>
  <r>
    <x v="3"/>
    <x v="3"/>
    <s v="Velo"/>
    <s v="High"/>
    <n v="1575"/>
    <n v="120"/>
    <n v="125"/>
    <n v="196875"/>
    <n v="27562.5"/>
    <n v="169312.5"/>
    <n v="189000"/>
    <n v="-19687.5"/>
    <d v="2024-02-01T00:00:00"/>
    <n v="2"/>
    <s v="February"/>
    <s v="2024"/>
    <x v="8"/>
    <n v="-0.11627906976744186"/>
    <n v="0.14000000000000001"/>
  </r>
  <r>
    <x v="0"/>
    <x v="4"/>
    <s v="Velo"/>
    <s v="High"/>
    <n v="606"/>
    <n v="120"/>
    <n v="20"/>
    <n v="12120"/>
    <n v="1696.8000000000002"/>
    <n v="10423.200000000001"/>
    <n v="6060"/>
    <n v="4363.2000000000007"/>
    <d v="2024-04-01T00:00:00"/>
    <n v="4"/>
    <s v="April"/>
    <s v="2024"/>
    <x v="13"/>
    <n v="0.41860465116279072"/>
    <n v="0.14000000000000001"/>
  </r>
  <r>
    <x v="4"/>
    <x v="4"/>
    <s v="Velo"/>
    <s v="High"/>
    <n v="2460"/>
    <n v="120"/>
    <n v="300"/>
    <n v="738000"/>
    <n v="103320"/>
    <n v="634680"/>
    <n v="615000"/>
    <n v="19680"/>
    <d v="2024-07-01T00:00:00"/>
    <n v="7"/>
    <s v="July"/>
    <s v="2024"/>
    <x v="4"/>
    <n v="3.1007751937984496E-2"/>
    <n v="0.14000000000000001"/>
  </r>
  <r>
    <x v="4"/>
    <x v="0"/>
    <s v="Velo"/>
    <s v="High"/>
    <n v="269"/>
    <n v="120"/>
    <n v="300"/>
    <n v="80700"/>
    <n v="11298"/>
    <n v="69402"/>
    <n v="67250"/>
    <n v="2152"/>
    <d v="2023-10-01T00:00:00"/>
    <n v="10"/>
    <s v="October"/>
    <s v="2023"/>
    <x v="7"/>
    <n v="3.1007751937984496E-2"/>
    <n v="0.14000000000000001"/>
  </r>
  <r>
    <x v="4"/>
    <x v="1"/>
    <s v="Velo"/>
    <s v="High"/>
    <n v="2536"/>
    <n v="120"/>
    <n v="300"/>
    <n v="760800"/>
    <n v="106512"/>
    <n v="654288"/>
    <n v="634000"/>
    <n v="20288"/>
    <d v="2023-11-01T00:00:00"/>
    <n v="11"/>
    <s v="November"/>
    <s v="2023"/>
    <x v="11"/>
    <n v="3.1007751937984496E-2"/>
    <n v="0.14000000000000001"/>
  </r>
  <r>
    <x v="0"/>
    <x v="3"/>
    <s v="VTT"/>
    <s v="High"/>
    <n v="2903"/>
    <n v="250"/>
    <n v="7"/>
    <n v="20321"/>
    <n v="2844.94"/>
    <n v="17476.060000000001"/>
    <n v="14515"/>
    <n v="2961.0600000000013"/>
    <d v="2024-03-01T00:00:00"/>
    <n v="3"/>
    <s v="March"/>
    <s v="2024"/>
    <x v="3"/>
    <n v="0.16943521594684391"/>
    <n v="0.14000000000000001"/>
  </r>
  <r>
    <x v="4"/>
    <x v="4"/>
    <s v="VTT"/>
    <s v="High"/>
    <n v="2541"/>
    <n v="250"/>
    <n v="300"/>
    <n v="762300"/>
    <n v="106722"/>
    <n v="655578"/>
    <n v="635250"/>
    <n v="20328"/>
    <d v="2024-08-01T00:00:00"/>
    <n v="8"/>
    <s v="August"/>
    <s v="2024"/>
    <x v="5"/>
    <n v="3.1007751937984496E-2"/>
    <n v="0.14000000000000001"/>
  </r>
  <r>
    <x v="4"/>
    <x v="0"/>
    <s v="VTT"/>
    <s v="High"/>
    <n v="269"/>
    <n v="250"/>
    <n v="300"/>
    <n v="80700"/>
    <n v="11298"/>
    <n v="69402"/>
    <n v="67250"/>
    <n v="2152"/>
    <d v="2023-10-01T00:00:00"/>
    <n v="10"/>
    <s v="October"/>
    <s v="2023"/>
    <x v="7"/>
    <n v="3.1007751937984496E-2"/>
    <n v="0.14000000000000001"/>
  </r>
  <r>
    <x v="4"/>
    <x v="0"/>
    <s v="VTT"/>
    <s v="High"/>
    <n v="1496"/>
    <n v="250"/>
    <n v="300"/>
    <n v="448800"/>
    <n v="62832"/>
    <n v="385968"/>
    <n v="374000"/>
    <n v="11968"/>
    <d v="2024-10-01T00:00:00"/>
    <n v="10"/>
    <s v="October"/>
    <s v="2024"/>
    <x v="10"/>
    <n v="3.1007751937984496E-2"/>
    <n v="0.14000000000000001"/>
  </r>
  <r>
    <x v="4"/>
    <x v="4"/>
    <s v="VTT"/>
    <s v="High"/>
    <n v="1010"/>
    <n v="250"/>
    <n v="300"/>
    <n v="303000"/>
    <n v="42420"/>
    <n v="260580"/>
    <n v="252500"/>
    <n v="8080"/>
    <d v="2024-10-01T00:00:00"/>
    <n v="10"/>
    <s v="October"/>
    <s v="2024"/>
    <x v="10"/>
    <n v="3.1007751937984496E-2"/>
    <n v="0.14000000000000001"/>
  </r>
  <r>
    <x v="0"/>
    <x v="2"/>
    <s v="VTT"/>
    <s v="High"/>
    <n v="1281"/>
    <n v="250"/>
    <n v="350"/>
    <n v="448350"/>
    <n v="62769"/>
    <n v="385581"/>
    <n v="333060"/>
    <n v="52521"/>
    <d v="2023-12-01T00:00:00"/>
    <n v="12"/>
    <s v="December"/>
    <s v="2023"/>
    <x v="12"/>
    <n v="0.13621262458471761"/>
    <n v="0.14000000000000001"/>
  </r>
  <r>
    <x v="4"/>
    <x v="0"/>
    <s v="Amarilla"/>
    <s v="High"/>
    <n v="888"/>
    <n v="260"/>
    <n v="300"/>
    <n v="266400"/>
    <n v="37296"/>
    <n v="229104"/>
    <n v="222000"/>
    <n v="7104"/>
    <d v="2024-03-01T00:00:00"/>
    <n v="3"/>
    <s v="March"/>
    <s v="2024"/>
    <x v="3"/>
    <n v="3.1007751937984496E-2"/>
    <n v="0.14000000000000001"/>
  </r>
  <r>
    <x v="3"/>
    <x v="4"/>
    <s v="Amarilla"/>
    <s v="High"/>
    <n v="2844"/>
    <n v="260"/>
    <n v="125"/>
    <n v="355500"/>
    <n v="49770"/>
    <n v="305730"/>
    <n v="341280"/>
    <n v="-35550"/>
    <d v="2024-05-01T00:00:00"/>
    <n v="5"/>
    <s v="May"/>
    <s v="2024"/>
    <x v="14"/>
    <n v="-0.11627906976744186"/>
    <n v="0.14000000000000001"/>
  </r>
  <r>
    <x v="2"/>
    <x v="2"/>
    <s v="Amarilla"/>
    <s v="High"/>
    <n v="2475"/>
    <n v="260"/>
    <n v="12"/>
    <n v="29700"/>
    <n v="4158"/>
    <n v="25542"/>
    <n v="7425"/>
    <n v="18117"/>
    <d v="2024-08-01T00:00:00"/>
    <n v="8"/>
    <s v="August"/>
    <s v="2024"/>
    <x v="5"/>
    <n v="0.70930232558139539"/>
    <n v="0.14000000000000001"/>
  </r>
  <r>
    <x v="1"/>
    <x v="0"/>
    <s v="Amarilla"/>
    <s v="High"/>
    <n v="1743"/>
    <n v="260"/>
    <n v="15"/>
    <n v="26145"/>
    <n v="3660.3"/>
    <n v="22484.7"/>
    <n v="17430"/>
    <n v="5054.7000000000007"/>
    <d v="2023-10-01T00:00:00"/>
    <n v="10"/>
    <s v="October"/>
    <s v="2023"/>
    <x v="7"/>
    <n v="0.22480620155038764"/>
    <n v="0.14000000000000001"/>
  </r>
  <r>
    <x v="2"/>
    <x v="4"/>
    <s v="Amarilla"/>
    <s v="High"/>
    <n v="2914"/>
    <n v="260"/>
    <n v="12"/>
    <n v="34968"/>
    <n v="4895.5200000000004"/>
    <n v="30072.48"/>
    <n v="8742"/>
    <n v="21330.48"/>
    <d v="2024-10-01T00:00:00"/>
    <n v="10"/>
    <s v="October"/>
    <s v="2024"/>
    <x v="10"/>
    <n v="0.70930232558139539"/>
    <n v="0.14000000000000001"/>
  </r>
  <r>
    <x v="0"/>
    <x v="2"/>
    <s v="Amarilla"/>
    <s v="High"/>
    <n v="1731"/>
    <n v="260"/>
    <n v="7"/>
    <n v="12117"/>
    <n v="1696.38"/>
    <n v="10420.619999999999"/>
    <n v="8655"/>
    <n v="1765.619999999999"/>
    <d v="2024-10-01T00:00:00"/>
    <n v="10"/>
    <s v="October"/>
    <s v="2024"/>
    <x v="10"/>
    <n v="0.16943521594684377"/>
    <n v="0.14000000000000001"/>
  </r>
  <r>
    <x v="0"/>
    <x v="3"/>
    <s v="Amarilla"/>
    <s v="High"/>
    <n v="1727"/>
    <n v="260"/>
    <n v="7"/>
    <n v="12089"/>
    <n v="1692.46"/>
    <n v="10396.540000000001"/>
    <n v="8635"/>
    <n v="1761.5400000000009"/>
    <d v="2023-10-01T00:00:00"/>
    <n v="10"/>
    <s v="October"/>
    <s v="2023"/>
    <x v="7"/>
    <n v="0.16943521594684394"/>
    <n v="0.14000000000000001"/>
  </r>
  <r>
    <x v="1"/>
    <x v="3"/>
    <s v="Amarilla"/>
    <s v="High"/>
    <n v="1870"/>
    <n v="260"/>
    <n v="15"/>
    <n v="28050"/>
    <n v="3927"/>
    <n v="24123"/>
    <n v="18700"/>
    <n v="5423"/>
    <d v="2023-11-01T00:00:00"/>
    <n v="11"/>
    <s v="November"/>
    <s v="2023"/>
    <x v="11"/>
    <n v="0.22480620155038761"/>
    <n v="0.14000000000000001"/>
  </r>
  <r>
    <x v="3"/>
    <x v="2"/>
    <s v="Carretera"/>
    <s v="High"/>
    <n v="1174"/>
    <n v="3"/>
    <n v="125"/>
    <n v="146750"/>
    <n v="22012.5"/>
    <n v="124737.5"/>
    <n v="140880"/>
    <n v="-16142.5"/>
    <d v="2024-08-01T00:00:00"/>
    <n v="8"/>
    <s v="August"/>
    <s v="2024"/>
    <x v="5"/>
    <n v="-0.12941176470588237"/>
    <n v="0.15"/>
  </r>
  <r>
    <x v="3"/>
    <x v="1"/>
    <s v="Carretera"/>
    <s v="High"/>
    <n v="2767"/>
    <n v="3"/>
    <n v="125"/>
    <n v="345875"/>
    <n v="51881.25"/>
    <n v="293993.75"/>
    <n v="332040"/>
    <n v="-38046.25"/>
    <d v="2024-08-01T00:00:00"/>
    <n v="8"/>
    <s v="August"/>
    <s v="2024"/>
    <x v="5"/>
    <n v="-0.12941176470588237"/>
    <n v="0.15"/>
  </r>
  <r>
    <x v="3"/>
    <x v="1"/>
    <s v="Carretera"/>
    <s v="High"/>
    <n v="1085"/>
    <n v="3"/>
    <n v="125"/>
    <n v="135625"/>
    <n v="20343.75"/>
    <n v="115281.25"/>
    <n v="130200"/>
    <n v="-14918.75"/>
    <d v="2024-10-01T00:00:00"/>
    <n v="10"/>
    <s v="October"/>
    <s v="2024"/>
    <x v="10"/>
    <n v="-0.12941176470588237"/>
    <n v="0.15"/>
  </r>
  <r>
    <x v="4"/>
    <x v="3"/>
    <s v="Montana"/>
    <s v="High"/>
    <n v="546"/>
    <n v="5"/>
    <n v="300"/>
    <n v="163800"/>
    <n v="24570"/>
    <n v="139230"/>
    <n v="136500"/>
    <n v="2730"/>
    <d v="2024-10-01T00:00:00"/>
    <n v="10"/>
    <s v="October"/>
    <s v="2024"/>
    <x v="10"/>
    <n v="1.9607843137254902E-2"/>
    <n v="0.15"/>
  </r>
  <r>
    <x v="0"/>
    <x v="1"/>
    <s v="Paseo"/>
    <s v="High"/>
    <n v="1158"/>
    <n v="10"/>
    <n v="20"/>
    <n v="23160"/>
    <n v="3474"/>
    <n v="19686"/>
    <n v="11580"/>
    <n v="8106"/>
    <d v="2024-03-01T00:00:00"/>
    <n v="3"/>
    <s v="March"/>
    <s v="2024"/>
    <x v="3"/>
    <n v="0.41176470588235292"/>
    <n v="0.15"/>
  </r>
  <r>
    <x v="1"/>
    <x v="0"/>
    <s v="Paseo"/>
    <s v="High"/>
    <n v="1614"/>
    <n v="10"/>
    <n v="15"/>
    <n v="24210"/>
    <n v="3631.5"/>
    <n v="20578.5"/>
    <n v="16140"/>
    <n v="4438.5"/>
    <d v="2024-04-01T00:00:00"/>
    <n v="4"/>
    <s v="April"/>
    <s v="2024"/>
    <x v="13"/>
    <n v="0.21568627450980393"/>
    <n v="0.15"/>
  </r>
  <r>
    <x v="0"/>
    <x v="3"/>
    <s v="Paseo"/>
    <s v="High"/>
    <n v="2535"/>
    <n v="10"/>
    <n v="7"/>
    <n v="17745"/>
    <n v="2661.75"/>
    <n v="15083.25"/>
    <n v="12675"/>
    <n v="2408.25"/>
    <d v="2024-04-01T00:00:00"/>
    <n v="4"/>
    <s v="April"/>
    <s v="2024"/>
    <x v="13"/>
    <n v="0.15966386554621848"/>
    <n v="0.15"/>
  </r>
  <r>
    <x v="0"/>
    <x v="3"/>
    <s v="Paseo"/>
    <s v="High"/>
    <n v="2851"/>
    <n v="10"/>
    <n v="350"/>
    <n v="997850"/>
    <n v="149677.5"/>
    <n v="848172.5"/>
    <n v="741260"/>
    <n v="106912.5"/>
    <d v="2024-05-01T00:00:00"/>
    <n v="5"/>
    <s v="May"/>
    <s v="2024"/>
    <x v="14"/>
    <n v="0.12605042016806722"/>
    <n v="0.15"/>
  </r>
  <r>
    <x v="1"/>
    <x v="0"/>
    <s v="Paseo"/>
    <s v="High"/>
    <n v="2559"/>
    <n v="10"/>
    <n v="15"/>
    <n v="38385"/>
    <n v="5757.75"/>
    <n v="32627.25"/>
    <n v="25590"/>
    <n v="7037.25"/>
    <d v="2024-08-01T00:00:00"/>
    <n v="8"/>
    <s v="August"/>
    <s v="2024"/>
    <x v="5"/>
    <n v="0.21568627450980393"/>
    <n v="0.15"/>
  </r>
  <r>
    <x v="0"/>
    <x v="4"/>
    <s v="Paseo"/>
    <s v="High"/>
    <n v="267"/>
    <n v="10"/>
    <n v="20"/>
    <n v="5340"/>
    <n v="801"/>
    <n v="4539"/>
    <n v="2670"/>
    <n v="1869"/>
    <d v="2023-10-01T00:00:00"/>
    <n v="10"/>
    <s v="October"/>
    <s v="2023"/>
    <x v="7"/>
    <n v="0.41176470588235292"/>
    <n v="0.15"/>
  </r>
  <r>
    <x v="3"/>
    <x v="1"/>
    <s v="Paseo"/>
    <s v="High"/>
    <n v="1085"/>
    <n v="10"/>
    <n v="125"/>
    <n v="135625"/>
    <n v="20343.75"/>
    <n v="115281.25"/>
    <n v="130200"/>
    <n v="-14918.75"/>
    <d v="2024-10-01T00:00:00"/>
    <n v="10"/>
    <s v="October"/>
    <s v="2024"/>
    <x v="10"/>
    <n v="-0.12941176470588237"/>
    <n v="0.15"/>
  </r>
  <r>
    <x v="1"/>
    <x v="1"/>
    <s v="Paseo"/>
    <s v="High"/>
    <n v="1175"/>
    <n v="10"/>
    <n v="15"/>
    <n v="17625"/>
    <n v="2643.75"/>
    <n v="14981.25"/>
    <n v="11750"/>
    <n v="3231.25"/>
    <d v="2024-10-01T00:00:00"/>
    <n v="10"/>
    <s v="October"/>
    <s v="2024"/>
    <x v="10"/>
    <n v="0.21568627450980393"/>
    <n v="0.15"/>
  </r>
  <r>
    <x v="0"/>
    <x v="4"/>
    <s v="Paseo"/>
    <s v="High"/>
    <n v="2007"/>
    <n v="10"/>
    <n v="350"/>
    <n v="702450"/>
    <n v="105367.5"/>
    <n v="597082.5"/>
    <n v="521820"/>
    <n v="75262.5"/>
    <d v="2023-11-01T00:00:00"/>
    <n v="11"/>
    <s v="November"/>
    <s v="2023"/>
    <x v="11"/>
    <n v="0.12605042016806722"/>
    <n v="0.15"/>
  </r>
  <r>
    <x v="0"/>
    <x v="3"/>
    <s v="Paseo"/>
    <s v="High"/>
    <n v="2151"/>
    <n v="10"/>
    <n v="350"/>
    <n v="752850"/>
    <n v="112927.5"/>
    <n v="639922.5"/>
    <n v="559260"/>
    <n v="80662.5"/>
    <d v="2023-11-01T00:00:00"/>
    <n v="11"/>
    <s v="November"/>
    <s v="2023"/>
    <x v="11"/>
    <n v="0.12605042016806722"/>
    <n v="0.15"/>
  </r>
  <r>
    <x v="2"/>
    <x v="4"/>
    <s v="Paseo"/>
    <s v="High"/>
    <n v="914"/>
    <n v="10"/>
    <n v="12"/>
    <n v="10968"/>
    <n v="1645.2"/>
    <n v="9322.7999999999993"/>
    <n v="2742"/>
    <n v="6580.7999999999993"/>
    <d v="2024-12-01T00:00:00"/>
    <n v="12"/>
    <s v="December"/>
    <s v="2024"/>
    <x v="2"/>
    <n v="0.70588235294117641"/>
    <n v="0.15"/>
  </r>
  <r>
    <x v="0"/>
    <x v="2"/>
    <s v="Paseo"/>
    <s v="High"/>
    <n v="293"/>
    <n v="10"/>
    <n v="20"/>
    <n v="5860"/>
    <n v="879"/>
    <n v="4981"/>
    <n v="2930"/>
    <n v="2051"/>
    <d v="2024-12-01T00:00:00"/>
    <n v="12"/>
    <s v="December"/>
    <s v="2024"/>
    <x v="2"/>
    <n v="0.41176470588235292"/>
    <n v="0.15"/>
  </r>
  <r>
    <x v="2"/>
    <x v="3"/>
    <s v="Velo"/>
    <s v="High"/>
    <n v="500"/>
    <n v="120"/>
    <n v="12"/>
    <n v="6000"/>
    <n v="900"/>
    <n v="5100"/>
    <n v="1500"/>
    <n v="3600"/>
    <d v="2024-03-01T00:00:00"/>
    <n v="3"/>
    <s v="March"/>
    <s v="2024"/>
    <x v="3"/>
    <n v="0.70588235294117652"/>
    <n v="0.15"/>
  </r>
  <r>
    <x v="1"/>
    <x v="2"/>
    <s v="Velo"/>
    <s v="High"/>
    <n v="2826"/>
    <n v="120"/>
    <n v="15"/>
    <n v="42390"/>
    <n v="6358.5"/>
    <n v="36031.5"/>
    <n v="28260"/>
    <n v="7771.5"/>
    <d v="2024-05-01T00:00:00"/>
    <n v="5"/>
    <s v="May"/>
    <s v="2024"/>
    <x v="14"/>
    <n v="0.21568627450980393"/>
    <n v="0.15"/>
  </r>
  <r>
    <x v="3"/>
    <x v="2"/>
    <s v="Velo"/>
    <s v="High"/>
    <n v="663"/>
    <n v="120"/>
    <n v="125"/>
    <n v="82875"/>
    <n v="12431.25"/>
    <n v="70443.75"/>
    <n v="79560"/>
    <n v="-9116.25"/>
    <d v="2024-09-01T00:00:00"/>
    <n v="9"/>
    <s v="September"/>
    <s v="2024"/>
    <x v="6"/>
    <n v="-0.12941176470588237"/>
    <n v="0.15"/>
  </r>
  <r>
    <x v="4"/>
    <x v="4"/>
    <s v="Velo"/>
    <s v="High"/>
    <n v="2574"/>
    <n v="120"/>
    <n v="300"/>
    <n v="772200"/>
    <n v="115830"/>
    <n v="656370"/>
    <n v="643500"/>
    <n v="12870"/>
    <d v="2023-11-01T00:00:00"/>
    <n v="11"/>
    <s v="November"/>
    <s v="2023"/>
    <x v="11"/>
    <n v="1.9607843137254902E-2"/>
    <n v="0.15"/>
  </r>
  <r>
    <x v="3"/>
    <x v="4"/>
    <s v="Velo"/>
    <s v="High"/>
    <n v="2438"/>
    <n v="120"/>
    <n v="125"/>
    <n v="304750"/>
    <n v="45712.5"/>
    <n v="259037.5"/>
    <n v="292560"/>
    <n v="-33522.5"/>
    <d v="2023-12-01T00:00:00"/>
    <n v="12"/>
    <s v="December"/>
    <s v="2023"/>
    <x v="12"/>
    <n v="-0.12941176470588237"/>
    <n v="0.15"/>
  </r>
  <r>
    <x v="2"/>
    <x v="4"/>
    <s v="Velo"/>
    <s v="High"/>
    <n v="914"/>
    <n v="120"/>
    <n v="12"/>
    <n v="10968"/>
    <n v="1645.2"/>
    <n v="9322.7999999999993"/>
    <n v="2742"/>
    <n v="6580.7999999999993"/>
    <d v="2024-12-01T00:00:00"/>
    <n v="12"/>
    <s v="December"/>
    <s v="2024"/>
    <x v="2"/>
    <n v="0.70588235294117641"/>
    <n v="0.15"/>
  </r>
  <r>
    <x v="0"/>
    <x v="0"/>
    <s v="VTT"/>
    <s v="High"/>
    <n v="865.5"/>
    <n v="250"/>
    <n v="20"/>
    <n v="17310"/>
    <n v="2596.5"/>
    <n v="14713.5"/>
    <n v="8655"/>
    <n v="6058.5"/>
    <d v="2024-07-01T00:00:00"/>
    <n v="7"/>
    <s v="July"/>
    <s v="2024"/>
    <x v="4"/>
    <n v="0.41176470588235292"/>
    <n v="0.15"/>
  </r>
  <r>
    <x v="1"/>
    <x v="1"/>
    <s v="VTT"/>
    <s v="High"/>
    <n v="492"/>
    <n v="250"/>
    <n v="15"/>
    <n v="7380"/>
    <n v="1107"/>
    <n v="6273"/>
    <n v="4920"/>
    <n v="1353"/>
    <d v="2024-07-01T00:00:00"/>
    <n v="7"/>
    <s v="July"/>
    <s v="2024"/>
    <x v="4"/>
    <n v="0.21568627450980393"/>
    <n v="0.15"/>
  </r>
  <r>
    <x v="0"/>
    <x v="4"/>
    <s v="VTT"/>
    <s v="High"/>
    <n v="267"/>
    <n v="250"/>
    <n v="20"/>
    <n v="5340"/>
    <n v="801"/>
    <n v="4539"/>
    <n v="2670"/>
    <n v="1869"/>
    <d v="2023-10-01T00:00:00"/>
    <n v="10"/>
    <s v="October"/>
    <s v="2023"/>
    <x v="7"/>
    <n v="0.41176470588235292"/>
    <n v="0.15"/>
  </r>
  <r>
    <x v="1"/>
    <x v="1"/>
    <s v="VTT"/>
    <s v="High"/>
    <n v="1175"/>
    <n v="250"/>
    <n v="15"/>
    <n v="17625"/>
    <n v="2643.75"/>
    <n v="14981.25"/>
    <n v="11750"/>
    <n v="3231.25"/>
    <d v="2024-10-01T00:00:00"/>
    <n v="10"/>
    <s v="October"/>
    <s v="2024"/>
    <x v="10"/>
    <n v="0.21568627450980393"/>
    <n v="0.15"/>
  </r>
  <r>
    <x v="3"/>
    <x v="0"/>
    <s v="VTT"/>
    <s v="High"/>
    <n v="2954"/>
    <n v="250"/>
    <n v="125"/>
    <n v="369250"/>
    <n v="55387.5"/>
    <n v="313862.5"/>
    <n v="354480"/>
    <n v="-40617.5"/>
    <d v="2023-11-01T00:00:00"/>
    <n v="11"/>
    <s v="November"/>
    <s v="2023"/>
    <x v="11"/>
    <n v="-0.12941176470588237"/>
    <n v="0.15"/>
  </r>
  <r>
    <x v="3"/>
    <x v="1"/>
    <s v="VTT"/>
    <s v="High"/>
    <n v="552"/>
    <n v="250"/>
    <n v="125"/>
    <n v="69000"/>
    <n v="10350"/>
    <n v="58650"/>
    <n v="66240"/>
    <n v="-7590"/>
    <d v="2024-11-01T00:00:00"/>
    <n v="11"/>
    <s v="November"/>
    <s v="2024"/>
    <x v="15"/>
    <n v="-0.12941176470588237"/>
    <n v="0.15"/>
  </r>
  <r>
    <x v="0"/>
    <x v="2"/>
    <s v="VTT"/>
    <s v="High"/>
    <n v="293"/>
    <n v="250"/>
    <n v="20"/>
    <n v="5860"/>
    <n v="879"/>
    <n v="4981"/>
    <n v="2930"/>
    <n v="2051"/>
    <d v="2024-12-01T00:00:00"/>
    <n v="12"/>
    <s v="December"/>
    <s v="2024"/>
    <x v="2"/>
    <n v="0.41176470588235292"/>
    <n v="0.15"/>
  </r>
  <r>
    <x v="4"/>
    <x v="2"/>
    <s v="Amarilla"/>
    <s v="High"/>
    <n v="2475"/>
    <n v="260"/>
    <n v="300"/>
    <n v="742500"/>
    <n v="111375"/>
    <n v="631125"/>
    <n v="618750"/>
    <n v="12375"/>
    <d v="2024-03-01T00:00:00"/>
    <n v="3"/>
    <s v="March"/>
    <s v="2024"/>
    <x v="3"/>
    <n v="1.9607843137254902E-2"/>
    <n v="0.15"/>
  </r>
  <r>
    <x v="4"/>
    <x v="3"/>
    <s v="Amarilla"/>
    <s v="High"/>
    <n v="546"/>
    <n v="260"/>
    <n v="300"/>
    <n v="163800"/>
    <n v="24570"/>
    <n v="139230"/>
    <n v="136500"/>
    <n v="2730"/>
    <d v="2024-10-01T00:00:00"/>
    <n v="10"/>
    <s v="October"/>
    <s v="2024"/>
    <x v="10"/>
    <n v="1.9607843137254902E-2"/>
    <n v="0.15"/>
  </r>
  <r>
    <x v="0"/>
    <x v="3"/>
    <s v="Montana"/>
    <s v="High"/>
    <n v="1368"/>
    <n v="5"/>
    <n v="7"/>
    <n v="9576"/>
    <n v="1436.4"/>
    <n v="8139.6"/>
    <n v="6840"/>
    <n v="1299.6000000000004"/>
    <d v="2024-02-01T00:00:00"/>
    <n v="2"/>
    <s v="February"/>
    <s v="2024"/>
    <x v="8"/>
    <n v="0.15966386554621853"/>
    <n v="0.15000000000000002"/>
  </r>
  <r>
    <x v="0"/>
    <x v="0"/>
    <s v="Paseo"/>
    <s v="High"/>
    <n v="723"/>
    <n v="10"/>
    <n v="7"/>
    <n v="5061"/>
    <n v="759.15000000000009"/>
    <n v="4301.8500000000004"/>
    <n v="3615"/>
    <n v="686.85000000000014"/>
    <d v="2024-04-01T00:00:00"/>
    <n v="4"/>
    <s v="April"/>
    <s v="2024"/>
    <x v="13"/>
    <n v="0.1596638655462185"/>
    <n v="0.15000000000000002"/>
  </r>
  <r>
    <x v="2"/>
    <x v="4"/>
    <s v="VTT"/>
    <s v="High"/>
    <n v="1806"/>
    <n v="250"/>
    <n v="12"/>
    <n v="21672"/>
    <n v="3250.8"/>
    <n v="18421.2"/>
    <n v="5418"/>
    <n v="13003.2"/>
    <d v="2024-05-01T00:00:00"/>
    <n v="5"/>
    <s v="May"/>
    <s v="2024"/>
    <x v="14"/>
    <n v="0.70588235294117652"/>
    <n v="0.150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E1F81-9B83-45F8-9E3A-8E6917825127}" name="ptProfit" cacheId="7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8" firstHeaderRow="1" firstDataRow="2" firstDataCol="1"/>
  <pivotFields count="19">
    <pivotField axis="axisCol" showAll="0">
      <items count="6">
        <item x="4"/>
        <item x="3"/>
        <item x="0"/>
        <item x="1"/>
        <item x="2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dataField="1" numFmtId="44" showAll="0"/>
    <pivotField numFmtId="14" showAll="0"/>
    <pivotField numFmtId="1" showAll="0"/>
    <pivotField showAll="0"/>
    <pivotField showAll="0"/>
    <pivotField numFmtId="164" showAll="0"/>
    <pivotField numFmtId="165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11" baseField="0" baseItem="0" numFmtId="44"/>
  </dataFields>
  <formats count="36">
    <format dxfId="55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5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57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58">
      <pivotArea collapsedLevelsAreSubtotals="1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59">
      <pivotArea collapsedLevelsAreSubtotals="1" fieldPosition="0">
        <references count="2">
          <reference field="0" count="1" selected="0">
            <x v="4"/>
          </reference>
          <reference field="1" count="1">
            <x v="0"/>
          </reference>
        </references>
      </pivotArea>
    </format>
    <format dxfId="60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61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62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63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64">
      <pivotArea collapsedLevelsAreSubtotals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65">
      <pivotArea collapsedLevelsAreSubtotals="1" fieldPosition="0">
        <references count="2">
          <reference field="0" count="1" selected="0">
            <x v="4"/>
          </reference>
          <reference field="1" count="1">
            <x v="1"/>
          </reference>
        </references>
      </pivotArea>
    </format>
    <format dxfId="66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67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68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69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70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71">
      <pivotArea collapsedLevelsAreSubtotals="1" fieldPosition="0">
        <references count="2">
          <reference field="0" count="1" selected="0">
            <x v="4"/>
          </reference>
          <reference field="1" count="1">
            <x v="2"/>
          </reference>
        </references>
      </pivotArea>
    </format>
    <format dxfId="72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73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74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75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76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77">
      <pivotArea collapsedLevelsAreSubtotals="1" fieldPosition="0">
        <references count="2">
          <reference field="0" count="1" selected="0">
            <x v="4"/>
          </reference>
          <reference field="1" count="1">
            <x v="3"/>
          </reference>
        </references>
      </pivotArea>
    </format>
    <format dxfId="78">
      <pivotArea field="1" grandCol="1" collapsedLevelsAreSubtotals="1" axis="axisRow" fieldPosition="0">
        <references count="1">
          <reference field="1" count="1">
            <x v="3"/>
          </reference>
        </references>
      </pivotArea>
    </format>
    <format dxfId="79">
      <pivotArea collapsedLevelsAreSubtotals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80">
      <pivotArea collapsedLevelsAreSubtotals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81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82">
      <pivotArea collapsedLevelsAreSubtotals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83">
      <pivotArea collapsedLevelsAreSubtotals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84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85">
      <pivotArea field="0" grandRow="1" outline="0" collapsedLevelsAreSubtotals="1" axis="axisCol" fieldPosition="0">
        <references count="1">
          <reference field="0" count="1" selected="0">
            <x v="0"/>
          </reference>
        </references>
      </pivotArea>
    </format>
    <format dxfId="86">
      <pivotArea field="0" grandRow="1" outline="0" collapsedLevelsAreSubtotals="1" axis="axisCol" fieldPosition="0">
        <references count="1">
          <reference field="0" count="1" selected="0">
            <x v="1"/>
          </reference>
        </references>
      </pivotArea>
    </format>
    <format dxfId="87">
      <pivotArea field="0" grandRow="1" outline="0" collapsedLevelsAreSubtotals="1" axis="axisCol" fieldPosition="0">
        <references count="1">
          <reference field="0" count="1" selected="0">
            <x v="2"/>
          </reference>
        </references>
      </pivotArea>
    </format>
    <format dxfId="88">
      <pivotArea field="0" grandRow="1" outline="0" collapsedLevelsAreSubtotals="1" axis="axisCol" fieldPosition="0">
        <references count="1">
          <reference field="0" count="1" selected="0">
            <x v="3"/>
          </reference>
        </references>
      </pivotArea>
    </format>
    <format dxfId="89">
      <pivotArea field="0" grandRow="1" outline="0" collapsedLevelsAreSubtotals="1" axis="axisCol" fieldPosition="0">
        <references count="1">
          <reference field="0" count="1" selected="0">
            <x v="4"/>
          </reference>
        </references>
      </pivotArea>
    </format>
    <format dxfId="90">
      <pivotArea grandRow="1" grandCol="1"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139A2-4DD4-4875-98FD-F21CE8AC8584}" name="ptMarginsTime" cacheId="7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1:Q18" firstHeaderRow="0" firstDataRow="1" firstDataCol="1"/>
  <pivotFields count="19">
    <pivotField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14" showAll="0"/>
    <pivotField numFmtId="1" showAll="0"/>
    <pivotField showAll="0"/>
    <pivotField showAll="0"/>
    <pivotField axis="axisRow" numFmtId="16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dataField="1" numFmtId="165" showAll="0"/>
    <pivotField dataField="1" numFmtId="165" showAll="0"/>
  </pivotFields>
  <rowFields count="1">
    <field x="1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gin %" fld="17" baseField="0" baseItem="0" numFmtId="165"/>
    <dataField name="Sum of Discount %" fld="18" baseField="0" baseItem="0" numFmtId="165"/>
  </dataFields>
  <formats count="34">
    <format dxfId="21">
      <pivotArea collapsedLevelsAreSubtotals="1" fieldPosition="0">
        <references count="2">
          <reference field="4294967294" count="1" selected="0">
            <x v="0"/>
          </reference>
          <reference field="16" count="1">
            <x v="0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6" count="1">
            <x v="0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6" count="1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6" count="1">
            <x v="1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6" count="1">
            <x v="2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16" count="1">
            <x v="2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16" count="1">
            <x v="3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16" count="1">
            <x v="3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16" count="1">
            <x v="4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16" count="1">
            <x v="4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16" count="1">
            <x v="5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1"/>
          </reference>
          <reference field="16" count="1">
            <x v="5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16" count="1">
            <x v="6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16" count="1">
            <x v="6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0"/>
          </reference>
          <reference field="16" count="1">
            <x v="7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16" count="1">
            <x v="7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16" count="1">
            <x v="8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16" count="1">
            <x v="8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16" count="1">
            <x v="9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16" count="1">
            <x v="9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0"/>
          </reference>
          <reference field="16" count="1">
            <x v="10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16" count="1">
            <x v="10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16" count="1">
            <x v="11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1"/>
          </reference>
          <reference field="16" count="1">
            <x v="11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0"/>
          </reference>
          <reference field="16" count="1">
            <x v="12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16" count="1">
            <x v="12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16" count="1">
            <x v="13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1"/>
          </reference>
          <reference field="16" count="1">
            <x v="13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0"/>
          </reference>
          <reference field="16" count="1">
            <x v="14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1"/>
          </reference>
          <reference field="16" count="1">
            <x v="14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16" count="1">
            <x v="15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16" count="1">
            <x v="15"/>
          </reference>
        </references>
      </pivotArea>
    </format>
    <format dxfId="53">
      <pivotArea field="1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4">
      <pivotArea field="1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D2D50-B8A9-4667-9571-CEFEDE163D7C}" name="SalesData" displayName="SalesData" ref="A1:S701" totalsRowShown="0" dataDxfId="20" tableBorderDxfId="19" dataCellStyle="Currency">
  <autoFilter ref="A1:S701" xr:uid="{3EAD2D50-B8A9-4667-9571-CEFEDE163D7C}"/>
  <tableColumns count="19">
    <tableColumn id="1" xr3:uid="{1FDA95C2-6A0A-4AAD-AC3A-E57398AC126E}" name="Segment" dataDxfId="18"/>
    <tableColumn id="2" xr3:uid="{B8696251-C840-45F3-9CC3-676001B35493}" name="Country" dataDxfId="17"/>
    <tableColumn id="3" xr3:uid="{322E6544-CBC1-40D0-A7AD-B130EB8446A2}" name="Product" dataDxfId="16" dataCellStyle="Currency"/>
    <tableColumn id="4" xr3:uid="{FEBD6289-96C3-42F7-9132-040FB85C4522}" name="Discount Band" dataDxfId="15" dataCellStyle="Currency"/>
    <tableColumn id="5" xr3:uid="{9B799140-E6C8-48C3-B102-C83811603D2A}" name="Units Sold" dataDxfId="14"/>
    <tableColumn id="6" xr3:uid="{3E8B502B-A559-4A64-97E1-7CA3B7970541}" name="Manufacturing Price" dataDxfId="13" dataCellStyle="Currency"/>
    <tableColumn id="7" xr3:uid="{97F71598-30E7-4D19-AB9F-C82F6AC57D2E}" name="Sale Price" dataDxfId="12" dataCellStyle="Currency"/>
    <tableColumn id="8" xr3:uid="{B736CB68-49DD-4893-932C-A64A5E46C098}" name="Gross Sales" dataDxfId="11" dataCellStyle="Currency"/>
    <tableColumn id="9" xr3:uid="{E7A1A89A-B891-4317-9B91-0FDDD308D922}" name="Discounts" dataDxfId="10" dataCellStyle="Currency"/>
    <tableColumn id="10" xr3:uid="{B8DC5E31-D75D-4A4A-A53D-DFA613D907FA}" name="Sales" dataDxfId="9" dataCellStyle="Currency"/>
    <tableColumn id="11" xr3:uid="{4677A91D-19DA-4031-B371-F8EEA6BE62FE}" name="COGS" dataDxfId="8" dataCellStyle="Currency"/>
    <tableColumn id="12" xr3:uid="{7BB5688F-6EC8-403B-9060-082B390DD847}" name="Profit" dataDxfId="7" dataCellStyle="Currency"/>
    <tableColumn id="13" xr3:uid="{94794A42-19E1-4CDA-A2FA-BF9D8D2F7F54}" name="Date" dataDxfId="6" dataCellStyle="Currency"/>
    <tableColumn id="14" xr3:uid="{1879AF89-E5E8-4F46-93B0-A6D193A8E8A9}" name="Month Number" dataDxfId="5" dataCellStyle="Currency"/>
    <tableColumn id="15" xr3:uid="{59C9E9DC-C47E-4F17-A86C-F9E1C1C17AA8}" name="Month Name" dataDxfId="4" dataCellStyle="Currency"/>
    <tableColumn id="16" xr3:uid="{CAF1EE71-BDB3-4CA0-A681-E852A25689ED}" name="Year" dataDxfId="3" dataCellStyle="Currency"/>
    <tableColumn id="17" xr3:uid="{26318A6B-F2AF-49D4-B52C-E27F4E12EBC1}" name="Year-Month" dataDxfId="2" dataCellStyle="Currency">
      <calculatedColumnFormula>DATE($P2,$N2,1)</calculatedColumnFormula>
    </tableColumn>
    <tableColumn id="18" xr3:uid="{01DF65FE-F325-4E73-93A4-96962F0A27F9}" name="Margin %" dataDxfId="1" dataCellStyle="Currency">
      <calculatedColumnFormula>IFERROR($L2/$J2,0)</calculatedColumnFormula>
    </tableColumn>
    <tableColumn id="19" xr3:uid="{00450BF0-4ED8-4805-A30D-2236A191DD43}" name="Discount %" dataDxfId="0" dataCellStyle="Currency">
      <calculatedColumnFormula>IFERROR($I2/$H2,0)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05EAD2-EDBB-4677-B83A-87752F8177D7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EAB2-A91A-6C4E-B806-E61E62CEA84F}">
  <dimension ref="A1:S701"/>
  <sheetViews>
    <sheetView tabSelected="1" topLeftCell="A374" workbookViewId="0"/>
  </sheetViews>
  <sheetFormatPr defaultColWidth="11" defaultRowHeight="15.6"/>
  <cols>
    <col min="8" max="8" width="16" customWidth="1"/>
    <col min="9" max="10" width="13.625" customWidth="1"/>
    <col min="11" max="11" width="13.375" customWidth="1"/>
    <col min="12" max="12" width="16.125" customWidth="1"/>
  </cols>
  <sheetData>
    <row r="1" spans="1:19" s="7" customFormat="1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8" t="s">
        <v>14</v>
      </c>
      <c r="P1" s="12" t="s">
        <v>15</v>
      </c>
      <c r="Q1" s="13" t="s">
        <v>16</v>
      </c>
      <c r="R1" s="13" t="s">
        <v>17</v>
      </c>
      <c r="S1" s="8" t="s">
        <v>18</v>
      </c>
    </row>
    <row r="2" spans="1:19">
      <c r="A2" s="1" t="s">
        <v>19</v>
      </c>
      <c r="B2" s="2" t="s">
        <v>20</v>
      </c>
      <c r="C2" s="3" t="s">
        <v>21</v>
      </c>
      <c r="D2" s="3" t="s">
        <v>22</v>
      </c>
      <c r="E2" s="2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4">
        <v>45292</v>
      </c>
      <c r="N2" s="5">
        <v>1</v>
      </c>
      <c r="O2" s="3" t="s">
        <v>23</v>
      </c>
      <c r="P2" s="6" t="s">
        <v>24</v>
      </c>
      <c r="Q2" s="14">
        <f t="shared" ref="Q2:Q65" si="0">DATE($P2,$N2,1)</f>
        <v>45292</v>
      </c>
      <c r="R2" s="15">
        <f t="shared" ref="R2:R65" si="1">IFERROR($L2/$J2,0)</f>
        <v>0.5</v>
      </c>
      <c r="S2" s="16">
        <f t="shared" ref="S2:S65" si="2">IFERROR($I2/$H2,0)</f>
        <v>0</v>
      </c>
    </row>
    <row r="3" spans="1:19">
      <c r="A3" s="1" t="s">
        <v>19</v>
      </c>
      <c r="B3" s="2" t="s">
        <v>25</v>
      </c>
      <c r="C3" s="3" t="s">
        <v>21</v>
      </c>
      <c r="D3" s="3" t="s">
        <v>22</v>
      </c>
      <c r="E3" s="2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4">
        <v>45292</v>
      </c>
      <c r="N3" s="5">
        <v>1</v>
      </c>
      <c r="O3" s="3" t="s">
        <v>23</v>
      </c>
      <c r="P3" s="6" t="s">
        <v>24</v>
      </c>
      <c r="Q3" s="14">
        <f t="shared" si="0"/>
        <v>45292</v>
      </c>
      <c r="R3" s="15">
        <f t="shared" si="1"/>
        <v>0.5</v>
      </c>
      <c r="S3" s="16">
        <f t="shared" si="2"/>
        <v>0</v>
      </c>
    </row>
    <row r="4" spans="1:19">
      <c r="A4" s="1" t="s">
        <v>26</v>
      </c>
      <c r="B4" s="2" t="s">
        <v>27</v>
      </c>
      <c r="C4" s="3" t="s">
        <v>21</v>
      </c>
      <c r="D4" s="3" t="s">
        <v>22</v>
      </c>
      <c r="E4" s="2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4">
        <v>45444</v>
      </c>
      <c r="N4" s="5">
        <v>6</v>
      </c>
      <c r="O4" s="3" t="s">
        <v>28</v>
      </c>
      <c r="P4" s="6" t="s">
        <v>24</v>
      </c>
      <c r="Q4" s="14">
        <f t="shared" si="0"/>
        <v>45444</v>
      </c>
      <c r="R4" s="15">
        <f t="shared" si="1"/>
        <v>0.33333333333333331</v>
      </c>
      <c r="S4" s="16">
        <f t="shared" si="2"/>
        <v>0</v>
      </c>
    </row>
    <row r="5" spans="1:19">
      <c r="A5" s="1" t="s">
        <v>26</v>
      </c>
      <c r="B5" s="2" t="s">
        <v>25</v>
      </c>
      <c r="C5" s="3" t="s">
        <v>21</v>
      </c>
      <c r="D5" s="3" t="s">
        <v>22</v>
      </c>
      <c r="E5" s="2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4">
        <v>45444</v>
      </c>
      <c r="N5" s="5">
        <v>6</v>
      </c>
      <c r="O5" s="3" t="s">
        <v>28</v>
      </c>
      <c r="P5" s="6" t="s">
        <v>24</v>
      </c>
      <c r="Q5" s="14">
        <f t="shared" si="0"/>
        <v>45444</v>
      </c>
      <c r="R5" s="15">
        <f t="shared" si="1"/>
        <v>0.33333333333333331</v>
      </c>
      <c r="S5" s="16">
        <f t="shared" si="2"/>
        <v>0</v>
      </c>
    </row>
    <row r="6" spans="1:19">
      <c r="A6" s="1" t="s">
        <v>26</v>
      </c>
      <c r="B6" s="2" t="s">
        <v>29</v>
      </c>
      <c r="C6" s="3" t="s">
        <v>21</v>
      </c>
      <c r="D6" s="3" t="s">
        <v>22</v>
      </c>
      <c r="E6" s="2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4">
        <v>45444</v>
      </c>
      <c r="N6" s="5">
        <v>6</v>
      </c>
      <c r="O6" s="3" t="s">
        <v>28</v>
      </c>
      <c r="P6" s="6" t="s">
        <v>24</v>
      </c>
      <c r="Q6" s="14">
        <f t="shared" si="0"/>
        <v>45444</v>
      </c>
      <c r="R6" s="15">
        <f t="shared" si="1"/>
        <v>0.33333333333333331</v>
      </c>
      <c r="S6" s="16">
        <f t="shared" si="2"/>
        <v>0</v>
      </c>
    </row>
    <row r="7" spans="1:19">
      <c r="A7" s="1" t="s">
        <v>19</v>
      </c>
      <c r="B7" s="2" t="s">
        <v>25</v>
      </c>
      <c r="C7" s="3" t="s">
        <v>21</v>
      </c>
      <c r="D7" s="3" t="s">
        <v>22</v>
      </c>
      <c r="E7" s="2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4">
        <v>45627</v>
      </c>
      <c r="N7" s="5">
        <v>12</v>
      </c>
      <c r="O7" s="3" t="s">
        <v>30</v>
      </c>
      <c r="P7" s="6" t="s">
        <v>24</v>
      </c>
      <c r="Q7" s="14">
        <f t="shared" si="0"/>
        <v>45627</v>
      </c>
      <c r="R7" s="15">
        <f t="shared" si="1"/>
        <v>0.25714285714285712</v>
      </c>
      <c r="S7" s="16">
        <f t="shared" si="2"/>
        <v>0</v>
      </c>
    </row>
    <row r="8" spans="1:19">
      <c r="A8" s="1" t="s">
        <v>26</v>
      </c>
      <c r="B8" s="2" t="s">
        <v>25</v>
      </c>
      <c r="C8" s="3" t="s">
        <v>31</v>
      </c>
      <c r="D8" s="3" t="s">
        <v>22</v>
      </c>
      <c r="E8" s="2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4">
        <v>45352</v>
      </c>
      <c r="N8" s="5">
        <v>3</v>
      </c>
      <c r="O8" s="3" t="s">
        <v>32</v>
      </c>
      <c r="P8" s="6" t="s">
        <v>24</v>
      </c>
      <c r="Q8" s="14">
        <f t="shared" si="0"/>
        <v>45352</v>
      </c>
      <c r="R8" s="15">
        <f t="shared" si="1"/>
        <v>0.33333333333333331</v>
      </c>
      <c r="S8" s="16">
        <f t="shared" si="2"/>
        <v>0</v>
      </c>
    </row>
    <row r="9" spans="1:19">
      <c r="A9" s="1" t="s">
        <v>33</v>
      </c>
      <c r="B9" s="2" t="s">
        <v>20</v>
      </c>
      <c r="C9" s="3" t="s">
        <v>31</v>
      </c>
      <c r="D9" s="3" t="s">
        <v>22</v>
      </c>
      <c r="E9" s="2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4">
        <v>45444</v>
      </c>
      <c r="N9" s="5">
        <v>6</v>
      </c>
      <c r="O9" s="3" t="s">
        <v>28</v>
      </c>
      <c r="P9" s="6" t="s">
        <v>24</v>
      </c>
      <c r="Q9" s="14">
        <f t="shared" si="0"/>
        <v>45444</v>
      </c>
      <c r="R9" s="15">
        <f t="shared" si="1"/>
        <v>0.75</v>
      </c>
      <c r="S9" s="16">
        <f t="shared" si="2"/>
        <v>0</v>
      </c>
    </row>
    <row r="10" spans="1:19">
      <c r="A10" s="1" t="s">
        <v>19</v>
      </c>
      <c r="B10" s="2" t="s">
        <v>27</v>
      </c>
      <c r="C10" s="3" t="s">
        <v>31</v>
      </c>
      <c r="D10" s="3" t="s">
        <v>22</v>
      </c>
      <c r="E10" s="2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4">
        <v>45444</v>
      </c>
      <c r="N10" s="5">
        <v>6</v>
      </c>
      <c r="O10" s="3" t="s">
        <v>28</v>
      </c>
      <c r="P10" s="6" t="s">
        <v>24</v>
      </c>
      <c r="Q10" s="14">
        <f t="shared" si="0"/>
        <v>45444</v>
      </c>
      <c r="R10" s="15">
        <f t="shared" si="1"/>
        <v>0.5</v>
      </c>
      <c r="S10" s="16">
        <f t="shared" si="2"/>
        <v>0</v>
      </c>
    </row>
    <row r="11" spans="1:19">
      <c r="A11" s="1" t="s">
        <v>33</v>
      </c>
      <c r="B11" s="2" t="s">
        <v>25</v>
      </c>
      <c r="C11" s="3" t="s">
        <v>31</v>
      </c>
      <c r="D11" s="3" t="s">
        <v>22</v>
      </c>
      <c r="E11" s="2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4">
        <v>45444</v>
      </c>
      <c r="N11" s="5">
        <v>6</v>
      </c>
      <c r="O11" s="3" t="s">
        <v>28</v>
      </c>
      <c r="P11" s="6" t="s">
        <v>24</v>
      </c>
      <c r="Q11" s="14">
        <f t="shared" si="0"/>
        <v>45444</v>
      </c>
      <c r="R11" s="15">
        <f t="shared" si="1"/>
        <v>0.75</v>
      </c>
      <c r="S11" s="16">
        <f t="shared" si="2"/>
        <v>0</v>
      </c>
    </row>
    <row r="12" spans="1:19">
      <c r="A12" s="1" t="s">
        <v>26</v>
      </c>
      <c r="B12" s="2" t="s">
        <v>29</v>
      </c>
      <c r="C12" s="3" t="s">
        <v>31</v>
      </c>
      <c r="D12" s="3" t="s">
        <v>22</v>
      </c>
      <c r="E12" s="2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4">
        <v>45444</v>
      </c>
      <c r="N12" s="5">
        <v>6</v>
      </c>
      <c r="O12" s="3" t="s">
        <v>28</v>
      </c>
      <c r="P12" s="6" t="s">
        <v>24</v>
      </c>
      <c r="Q12" s="14">
        <f t="shared" si="0"/>
        <v>45444</v>
      </c>
      <c r="R12" s="15">
        <f t="shared" si="1"/>
        <v>0.33333333333333331</v>
      </c>
      <c r="S12" s="16">
        <f t="shared" si="2"/>
        <v>0</v>
      </c>
    </row>
    <row r="13" spans="1:19">
      <c r="A13" s="1" t="s">
        <v>34</v>
      </c>
      <c r="B13" s="2" t="s">
        <v>20</v>
      </c>
      <c r="C13" s="3" t="s">
        <v>31</v>
      </c>
      <c r="D13" s="3" t="s">
        <v>22</v>
      </c>
      <c r="E13" s="2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4">
        <v>45474</v>
      </c>
      <c r="N13" s="5">
        <v>7</v>
      </c>
      <c r="O13" s="3" t="s">
        <v>35</v>
      </c>
      <c r="P13" s="6" t="s">
        <v>24</v>
      </c>
      <c r="Q13" s="14">
        <f t="shared" si="0"/>
        <v>45474</v>
      </c>
      <c r="R13" s="15">
        <f t="shared" si="1"/>
        <v>0.04</v>
      </c>
      <c r="S13" s="16">
        <f t="shared" si="2"/>
        <v>0</v>
      </c>
    </row>
    <row r="14" spans="1:19">
      <c r="A14" s="1" t="s">
        <v>36</v>
      </c>
      <c r="B14" s="2" t="s">
        <v>29</v>
      </c>
      <c r="C14" s="3" t="s">
        <v>31</v>
      </c>
      <c r="D14" s="3" t="s">
        <v>22</v>
      </c>
      <c r="E14" s="2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4">
        <v>45505</v>
      </c>
      <c r="N14" s="5">
        <v>8</v>
      </c>
      <c r="O14" s="3" t="s">
        <v>37</v>
      </c>
      <c r="P14" s="6" t="s">
        <v>24</v>
      </c>
      <c r="Q14" s="14">
        <f t="shared" si="0"/>
        <v>45505</v>
      </c>
      <c r="R14" s="15">
        <f t="shared" si="1"/>
        <v>0.16666666666666666</v>
      </c>
      <c r="S14" s="16">
        <f t="shared" si="2"/>
        <v>0</v>
      </c>
    </row>
    <row r="15" spans="1:19">
      <c r="A15" s="1" t="s">
        <v>19</v>
      </c>
      <c r="B15" s="2" t="s">
        <v>25</v>
      </c>
      <c r="C15" s="3" t="s">
        <v>31</v>
      </c>
      <c r="D15" s="3" t="s">
        <v>22</v>
      </c>
      <c r="E15" s="2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4">
        <v>45536</v>
      </c>
      <c r="N15" s="5">
        <v>9</v>
      </c>
      <c r="O15" s="3" t="s">
        <v>38</v>
      </c>
      <c r="P15" s="6" t="s">
        <v>24</v>
      </c>
      <c r="Q15" s="14">
        <f t="shared" si="0"/>
        <v>45536</v>
      </c>
      <c r="R15" s="15">
        <f t="shared" si="1"/>
        <v>0.2857142857142857</v>
      </c>
      <c r="S15" s="16">
        <f t="shared" si="2"/>
        <v>0</v>
      </c>
    </row>
    <row r="16" spans="1:19">
      <c r="A16" s="1" t="s">
        <v>34</v>
      </c>
      <c r="B16" s="2" t="s">
        <v>20</v>
      </c>
      <c r="C16" s="3" t="s">
        <v>31</v>
      </c>
      <c r="D16" s="3" t="s">
        <v>22</v>
      </c>
      <c r="E16" s="2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4">
        <v>45200</v>
      </c>
      <c r="N16" s="5">
        <v>10</v>
      </c>
      <c r="O16" s="3" t="s">
        <v>39</v>
      </c>
      <c r="P16" s="6" t="s">
        <v>40</v>
      </c>
      <c r="Q16" s="14">
        <f t="shared" si="0"/>
        <v>45200</v>
      </c>
      <c r="R16" s="15">
        <f t="shared" si="1"/>
        <v>0.04</v>
      </c>
      <c r="S16" s="16">
        <f t="shared" si="2"/>
        <v>0</v>
      </c>
    </row>
    <row r="17" spans="1:19">
      <c r="A17" s="1" t="s">
        <v>26</v>
      </c>
      <c r="B17" s="2" t="s">
        <v>41</v>
      </c>
      <c r="C17" s="3" t="s">
        <v>31</v>
      </c>
      <c r="D17" s="3" t="s">
        <v>22</v>
      </c>
      <c r="E17" s="2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4">
        <v>45627</v>
      </c>
      <c r="N17" s="5">
        <v>12</v>
      </c>
      <c r="O17" s="3" t="s">
        <v>30</v>
      </c>
      <c r="P17" s="6" t="s">
        <v>24</v>
      </c>
      <c r="Q17" s="14">
        <f t="shared" si="0"/>
        <v>45627</v>
      </c>
      <c r="R17" s="15">
        <f t="shared" si="1"/>
        <v>0.33333333333333331</v>
      </c>
      <c r="S17" s="16">
        <f t="shared" si="2"/>
        <v>0</v>
      </c>
    </row>
    <row r="18" spans="1:19">
      <c r="A18" s="1" t="s">
        <v>19</v>
      </c>
      <c r="B18" s="2" t="s">
        <v>20</v>
      </c>
      <c r="C18" s="3" t="s">
        <v>42</v>
      </c>
      <c r="D18" s="3" t="s">
        <v>22</v>
      </c>
      <c r="E18" s="2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4">
        <v>45323</v>
      </c>
      <c r="N18" s="5">
        <v>2</v>
      </c>
      <c r="O18" s="3" t="s">
        <v>43</v>
      </c>
      <c r="P18" s="6" t="s">
        <v>24</v>
      </c>
      <c r="Q18" s="14">
        <f t="shared" si="0"/>
        <v>45323</v>
      </c>
      <c r="R18" s="15">
        <f t="shared" si="1"/>
        <v>0.5</v>
      </c>
      <c r="S18" s="16">
        <f t="shared" si="2"/>
        <v>0</v>
      </c>
    </row>
    <row r="19" spans="1:19">
      <c r="A19" s="1" t="s">
        <v>26</v>
      </c>
      <c r="B19" s="2" t="s">
        <v>29</v>
      </c>
      <c r="C19" s="3" t="s">
        <v>42</v>
      </c>
      <c r="D19" s="3" t="s">
        <v>22</v>
      </c>
      <c r="E19" s="2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4">
        <v>45323</v>
      </c>
      <c r="N19" s="5">
        <v>2</v>
      </c>
      <c r="O19" s="3" t="s">
        <v>43</v>
      </c>
      <c r="P19" s="6" t="s">
        <v>24</v>
      </c>
      <c r="Q19" s="14">
        <f t="shared" si="0"/>
        <v>45323</v>
      </c>
      <c r="R19" s="15">
        <f t="shared" si="1"/>
        <v>0.33333333333333331</v>
      </c>
      <c r="S19" s="16">
        <f t="shared" si="2"/>
        <v>0</v>
      </c>
    </row>
    <row r="20" spans="1:19">
      <c r="A20" s="1" t="s">
        <v>33</v>
      </c>
      <c r="B20" s="2" t="s">
        <v>20</v>
      </c>
      <c r="C20" s="3" t="s">
        <v>42</v>
      </c>
      <c r="D20" s="3" t="s">
        <v>22</v>
      </c>
      <c r="E20" s="2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4">
        <v>45444</v>
      </c>
      <c r="N20" s="5">
        <v>6</v>
      </c>
      <c r="O20" s="3" t="s">
        <v>28</v>
      </c>
      <c r="P20" s="6" t="s">
        <v>24</v>
      </c>
      <c r="Q20" s="14">
        <f t="shared" si="0"/>
        <v>45444</v>
      </c>
      <c r="R20" s="15">
        <f t="shared" si="1"/>
        <v>0.75</v>
      </c>
      <c r="S20" s="16">
        <f t="shared" si="2"/>
        <v>0</v>
      </c>
    </row>
    <row r="21" spans="1:19">
      <c r="A21" s="1" t="s">
        <v>19</v>
      </c>
      <c r="B21" s="2" t="s">
        <v>25</v>
      </c>
      <c r="C21" s="3" t="s">
        <v>42</v>
      </c>
      <c r="D21" s="3" t="s">
        <v>22</v>
      </c>
      <c r="E21" s="2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4">
        <v>45444</v>
      </c>
      <c r="N21" s="5">
        <v>6</v>
      </c>
      <c r="O21" s="3" t="s">
        <v>28</v>
      </c>
      <c r="P21" s="6" t="s">
        <v>24</v>
      </c>
      <c r="Q21" s="14">
        <f t="shared" si="0"/>
        <v>45444</v>
      </c>
      <c r="R21" s="15">
        <f t="shared" si="1"/>
        <v>0.25714285714285712</v>
      </c>
      <c r="S21" s="16">
        <f t="shared" si="2"/>
        <v>0</v>
      </c>
    </row>
    <row r="22" spans="1:19">
      <c r="A22" s="1" t="s">
        <v>33</v>
      </c>
      <c r="B22" s="2" t="s">
        <v>25</v>
      </c>
      <c r="C22" s="3" t="s">
        <v>42</v>
      </c>
      <c r="D22" s="3" t="s">
        <v>22</v>
      </c>
      <c r="E22" s="2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4">
        <v>45474</v>
      </c>
      <c r="N22" s="5">
        <v>7</v>
      </c>
      <c r="O22" s="3" t="s">
        <v>35</v>
      </c>
      <c r="P22" s="6" t="s">
        <v>24</v>
      </c>
      <c r="Q22" s="14">
        <f t="shared" si="0"/>
        <v>45474</v>
      </c>
      <c r="R22" s="15">
        <f t="shared" si="1"/>
        <v>0.75</v>
      </c>
      <c r="S22" s="16">
        <f t="shared" si="2"/>
        <v>0</v>
      </c>
    </row>
    <row r="23" spans="1:19">
      <c r="A23" s="1" t="s">
        <v>19</v>
      </c>
      <c r="B23" s="2" t="s">
        <v>29</v>
      </c>
      <c r="C23" s="3" t="s">
        <v>42</v>
      </c>
      <c r="D23" s="3" t="s">
        <v>22</v>
      </c>
      <c r="E23" s="2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4">
        <v>45505</v>
      </c>
      <c r="N23" s="5">
        <v>8</v>
      </c>
      <c r="O23" s="3" t="s">
        <v>37</v>
      </c>
      <c r="P23" s="6" t="s">
        <v>24</v>
      </c>
      <c r="Q23" s="14">
        <f t="shared" si="0"/>
        <v>45505</v>
      </c>
      <c r="R23" s="15">
        <f t="shared" si="1"/>
        <v>0.2857142857142857</v>
      </c>
      <c r="S23" s="16">
        <f t="shared" si="2"/>
        <v>0</v>
      </c>
    </row>
    <row r="24" spans="1:19">
      <c r="A24" s="1" t="s">
        <v>26</v>
      </c>
      <c r="B24" s="2" t="s">
        <v>27</v>
      </c>
      <c r="C24" s="3" t="s">
        <v>42</v>
      </c>
      <c r="D24" s="3" t="s">
        <v>22</v>
      </c>
      <c r="E24" s="2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4">
        <v>45170</v>
      </c>
      <c r="N24" s="5">
        <v>9</v>
      </c>
      <c r="O24" s="3" t="s">
        <v>38</v>
      </c>
      <c r="P24" s="6" t="s">
        <v>40</v>
      </c>
      <c r="Q24" s="14">
        <f t="shared" si="0"/>
        <v>45170</v>
      </c>
      <c r="R24" s="15">
        <f t="shared" si="1"/>
        <v>0.33333333333333331</v>
      </c>
      <c r="S24" s="16">
        <f t="shared" si="2"/>
        <v>0</v>
      </c>
    </row>
    <row r="25" spans="1:19">
      <c r="A25" s="1" t="s">
        <v>36</v>
      </c>
      <c r="B25" s="2" t="s">
        <v>29</v>
      </c>
      <c r="C25" s="3" t="s">
        <v>42</v>
      </c>
      <c r="D25" s="3" t="s">
        <v>22</v>
      </c>
      <c r="E25" s="2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4">
        <v>45170</v>
      </c>
      <c r="N25" s="5">
        <v>9</v>
      </c>
      <c r="O25" s="3" t="s">
        <v>38</v>
      </c>
      <c r="P25" s="6" t="s">
        <v>40</v>
      </c>
      <c r="Q25" s="14">
        <f t="shared" si="0"/>
        <v>45170</v>
      </c>
      <c r="R25" s="15">
        <f t="shared" si="1"/>
        <v>0.16666666666666666</v>
      </c>
      <c r="S25" s="16">
        <f t="shared" si="2"/>
        <v>0</v>
      </c>
    </row>
    <row r="26" spans="1:19">
      <c r="A26" s="1" t="s">
        <v>26</v>
      </c>
      <c r="B26" s="2" t="s">
        <v>29</v>
      </c>
      <c r="C26" s="3" t="s">
        <v>42</v>
      </c>
      <c r="D26" s="3" t="s">
        <v>22</v>
      </c>
      <c r="E26" s="2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4">
        <v>45536</v>
      </c>
      <c r="N26" s="5">
        <v>9</v>
      </c>
      <c r="O26" s="3" t="s">
        <v>38</v>
      </c>
      <c r="P26" s="6" t="s">
        <v>24</v>
      </c>
      <c r="Q26" s="14">
        <f t="shared" si="0"/>
        <v>45536</v>
      </c>
      <c r="R26" s="15">
        <f t="shared" si="1"/>
        <v>0.33333333333333331</v>
      </c>
      <c r="S26" s="16">
        <f t="shared" si="2"/>
        <v>0</v>
      </c>
    </row>
    <row r="27" spans="1:19">
      <c r="A27" s="1" t="s">
        <v>19</v>
      </c>
      <c r="B27" s="2" t="s">
        <v>41</v>
      </c>
      <c r="C27" s="3" t="s">
        <v>42</v>
      </c>
      <c r="D27" s="3" t="s">
        <v>22</v>
      </c>
      <c r="E27" s="2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4">
        <v>45566</v>
      </c>
      <c r="N27" s="5">
        <v>10</v>
      </c>
      <c r="O27" s="3" t="s">
        <v>39</v>
      </c>
      <c r="P27" s="6" t="s">
        <v>24</v>
      </c>
      <c r="Q27" s="14">
        <f t="shared" si="0"/>
        <v>45566</v>
      </c>
      <c r="R27" s="15">
        <f t="shared" si="1"/>
        <v>0.2857142857142857</v>
      </c>
      <c r="S27" s="16">
        <f t="shared" si="2"/>
        <v>0</v>
      </c>
    </row>
    <row r="28" spans="1:19">
      <c r="A28" s="1" t="s">
        <v>19</v>
      </c>
      <c r="B28" s="2" t="s">
        <v>20</v>
      </c>
      <c r="C28" s="3" t="s">
        <v>42</v>
      </c>
      <c r="D28" s="3" t="s">
        <v>22</v>
      </c>
      <c r="E28" s="2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4">
        <v>45231</v>
      </c>
      <c r="N28" s="5">
        <v>11</v>
      </c>
      <c r="O28" s="3" t="s">
        <v>44</v>
      </c>
      <c r="P28" s="6" t="s">
        <v>40</v>
      </c>
      <c r="Q28" s="14">
        <f t="shared" si="0"/>
        <v>45231</v>
      </c>
      <c r="R28" s="15">
        <f t="shared" si="1"/>
        <v>0.25714285714285712</v>
      </c>
      <c r="S28" s="16">
        <f t="shared" si="2"/>
        <v>0</v>
      </c>
    </row>
    <row r="29" spans="1:19">
      <c r="A29" s="1" t="s">
        <v>33</v>
      </c>
      <c r="B29" s="2" t="s">
        <v>41</v>
      </c>
      <c r="C29" s="3" t="s">
        <v>42</v>
      </c>
      <c r="D29" s="3" t="s">
        <v>22</v>
      </c>
      <c r="E29" s="2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4">
        <v>45231</v>
      </c>
      <c r="N29" s="5">
        <v>11</v>
      </c>
      <c r="O29" s="3" t="s">
        <v>44</v>
      </c>
      <c r="P29" s="6" t="s">
        <v>40</v>
      </c>
      <c r="Q29" s="14">
        <f t="shared" si="0"/>
        <v>45231</v>
      </c>
      <c r="R29" s="15">
        <f t="shared" si="1"/>
        <v>0.75</v>
      </c>
      <c r="S29" s="16">
        <f t="shared" si="2"/>
        <v>0</v>
      </c>
    </row>
    <row r="30" spans="1:19">
      <c r="A30" s="1" t="s">
        <v>26</v>
      </c>
      <c r="B30" s="2" t="s">
        <v>20</v>
      </c>
      <c r="C30" s="3" t="s">
        <v>42</v>
      </c>
      <c r="D30" s="3" t="s">
        <v>22</v>
      </c>
      <c r="E30" s="2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4">
        <v>45261</v>
      </c>
      <c r="N30" s="5">
        <v>12</v>
      </c>
      <c r="O30" s="3" t="s">
        <v>30</v>
      </c>
      <c r="P30" s="6" t="s">
        <v>40</v>
      </c>
      <c r="Q30" s="14">
        <f t="shared" si="0"/>
        <v>45261</v>
      </c>
      <c r="R30" s="15">
        <f t="shared" si="1"/>
        <v>0.33333333333333331</v>
      </c>
      <c r="S30" s="16">
        <f t="shared" si="2"/>
        <v>0</v>
      </c>
    </row>
    <row r="31" spans="1:19">
      <c r="A31" s="1" t="s">
        <v>19</v>
      </c>
      <c r="B31" s="2" t="s">
        <v>20</v>
      </c>
      <c r="C31" s="3" t="s">
        <v>42</v>
      </c>
      <c r="D31" s="3" t="s">
        <v>22</v>
      </c>
      <c r="E31" s="2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4">
        <v>45627</v>
      </c>
      <c r="N31" s="5">
        <v>12</v>
      </c>
      <c r="O31" s="3" t="s">
        <v>30</v>
      </c>
      <c r="P31" s="6" t="s">
        <v>24</v>
      </c>
      <c r="Q31" s="14">
        <f t="shared" si="0"/>
        <v>45627</v>
      </c>
      <c r="R31" s="15">
        <f t="shared" si="1"/>
        <v>0.5</v>
      </c>
      <c r="S31" s="16">
        <f t="shared" si="2"/>
        <v>0</v>
      </c>
    </row>
    <row r="32" spans="1:19">
      <c r="A32" s="1" t="s">
        <v>19</v>
      </c>
      <c r="B32" s="2" t="s">
        <v>25</v>
      </c>
      <c r="C32" s="3" t="s">
        <v>42</v>
      </c>
      <c r="D32" s="3" t="s">
        <v>22</v>
      </c>
      <c r="E32" s="2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4">
        <v>45627</v>
      </c>
      <c r="N32" s="5">
        <v>12</v>
      </c>
      <c r="O32" s="3" t="s">
        <v>30</v>
      </c>
      <c r="P32" s="6" t="s">
        <v>24</v>
      </c>
      <c r="Q32" s="14">
        <f t="shared" si="0"/>
        <v>45627</v>
      </c>
      <c r="R32" s="15">
        <f t="shared" si="1"/>
        <v>0.25714285714285712</v>
      </c>
      <c r="S32" s="16">
        <f t="shared" si="2"/>
        <v>0</v>
      </c>
    </row>
    <row r="33" spans="1:19">
      <c r="A33" s="1" t="s">
        <v>19</v>
      </c>
      <c r="B33" s="2" t="s">
        <v>29</v>
      </c>
      <c r="C33" s="3" t="s">
        <v>45</v>
      </c>
      <c r="D33" s="3" t="s">
        <v>22</v>
      </c>
      <c r="E33" s="2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4">
        <v>45292</v>
      </c>
      <c r="N33" s="5">
        <v>1</v>
      </c>
      <c r="O33" s="3" t="s">
        <v>23</v>
      </c>
      <c r="P33" s="6" t="s">
        <v>24</v>
      </c>
      <c r="Q33" s="14">
        <f t="shared" si="0"/>
        <v>45292</v>
      </c>
      <c r="R33" s="15">
        <f t="shared" si="1"/>
        <v>0.2857142857142857</v>
      </c>
      <c r="S33" s="16">
        <f t="shared" si="2"/>
        <v>0</v>
      </c>
    </row>
    <row r="34" spans="1:19">
      <c r="A34" s="1" t="s">
        <v>34</v>
      </c>
      <c r="B34" s="2" t="s">
        <v>27</v>
      </c>
      <c r="C34" s="3" t="s">
        <v>45</v>
      </c>
      <c r="D34" s="3" t="s">
        <v>22</v>
      </c>
      <c r="E34" s="2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4">
        <v>45323</v>
      </c>
      <c r="N34" s="5">
        <v>2</v>
      </c>
      <c r="O34" s="3" t="s">
        <v>43</v>
      </c>
      <c r="P34" s="6" t="s">
        <v>24</v>
      </c>
      <c r="Q34" s="14">
        <f t="shared" si="0"/>
        <v>45323</v>
      </c>
      <c r="R34" s="15">
        <f t="shared" si="1"/>
        <v>0.04</v>
      </c>
      <c r="S34" s="16">
        <f t="shared" si="2"/>
        <v>0</v>
      </c>
    </row>
    <row r="35" spans="1:19">
      <c r="A35" s="1" t="s">
        <v>33</v>
      </c>
      <c r="B35" s="2" t="s">
        <v>25</v>
      </c>
      <c r="C35" s="3" t="s">
        <v>45</v>
      </c>
      <c r="D35" s="3" t="s">
        <v>22</v>
      </c>
      <c r="E35" s="2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4">
        <v>45352</v>
      </c>
      <c r="N35" s="5">
        <v>3</v>
      </c>
      <c r="O35" s="3" t="s">
        <v>32</v>
      </c>
      <c r="P35" s="6" t="s">
        <v>24</v>
      </c>
      <c r="Q35" s="14">
        <f t="shared" si="0"/>
        <v>45352</v>
      </c>
      <c r="R35" s="15">
        <f t="shared" si="1"/>
        <v>0.75</v>
      </c>
      <c r="S35" s="16">
        <f t="shared" si="2"/>
        <v>0</v>
      </c>
    </row>
    <row r="36" spans="1:19">
      <c r="A36" s="1" t="s">
        <v>19</v>
      </c>
      <c r="B36" s="2" t="s">
        <v>25</v>
      </c>
      <c r="C36" s="3" t="s">
        <v>45</v>
      </c>
      <c r="D36" s="3" t="s">
        <v>22</v>
      </c>
      <c r="E36" s="2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4">
        <v>45444</v>
      </c>
      <c r="N36" s="5">
        <v>6</v>
      </c>
      <c r="O36" s="3" t="s">
        <v>28</v>
      </c>
      <c r="P36" s="6" t="s">
        <v>24</v>
      </c>
      <c r="Q36" s="14">
        <f t="shared" si="0"/>
        <v>45444</v>
      </c>
      <c r="R36" s="15">
        <f t="shared" si="1"/>
        <v>0.25714285714285712</v>
      </c>
      <c r="S36" s="16">
        <f t="shared" si="2"/>
        <v>0</v>
      </c>
    </row>
    <row r="37" spans="1:19">
      <c r="A37" s="1" t="s">
        <v>33</v>
      </c>
      <c r="B37" s="2" t="s">
        <v>25</v>
      </c>
      <c r="C37" s="3" t="s">
        <v>45</v>
      </c>
      <c r="D37" s="3" t="s">
        <v>22</v>
      </c>
      <c r="E37" s="2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4">
        <v>45444</v>
      </c>
      <c r="N37" s="5">
        <v>6</v>
      </c>
      <c r="O37" s="3" t="s">
        <v>28</v>
      </c>
      <c r="P37" s="6" t="s">
        <v>24</v>
      </c>
      <c r="Q37" s="14">
        <f t="shared" si="0"/>
        <v>45444</v>
      </c>
      <c r="R37" s="15">
        <f t="shared" si="1"/>
        <v>0.75</v>
      </c>
      <c r="S37" s="16">
        <f t="shared" si="2"/>
        <v>0</v>
      </c>
    </row>
    <row r="38" spans="1:19">
      <c r="A38" s="1" t="s">
        <v>34</v>
      </c>
      <c r="B38" s="2" t="s">
        <v>41</v>
      </c>
      <c r="C38" s="3" t="s">
        <v>45</v>
      </c>
      <c r="D38" s="3" t="s">
        <v>22</v>
      </c>
      <c r="E38" s="2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4">
        <v>45505</v>
      </c>
      <c r="N38" s="5">
        <v>8</v>
      </c>
      <c r="O38" s="3" t="s">
        <v>37</v>
      </c>
      <c r="P38" s="6" t="s">
        <v>24</v>
      </c>
      <c r="Q38" s="14">
        <f t="shared" si="0"/>
        <v>45505</v>
      </c>
      <c r="R38" s="15">
        <f t="shared" si="1"/>
        <v>0.04</v>
      </c>
      <c r="S38" s="16">
        <f t="shared" si="2"/>
        <v>0</v>
      </c>
    </row>
    <row r="39" spans="1:19">
      <c r="A39" s="1" t="s">
        <v>34</v>
      </c>
      <c r="B39" s="2" t="s">
        <v>20</v>
      </c>
      <c r="C39" s="3" t="s">
        <v>45</v>
      </c>
      <c r="D39" s="3" t="s">
        <v>22</v>
      </c>
      <c r="E39" s="2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4">
        <v>45200</v>
      </c>
      <c r="N39" s="5">
        <v>10</v>
      </c>
      <c r="O39" s="3" t="s">
        <v>39</v>
      </c>
      <c r="P39" s="6" t="s">
        <v>40</v>
      </c>
      <c r="Q39" s="14">
        <f t="shared" si="0"/>
        <v>45200</v>
      </c>
      <c r="R39" s="15">
        <f t="shared" si="1"/>
        <v>0.04</v>
      </c>
      <c r="S39" s="16">
        <f t="shared" si="2"/>
        <v>0</v>
      </c>
    </row>
    <row r="40" spans="1:19">
      <c r="A40" s="1" t="s">
        <v>36</v>
      </c>
      <c r="B40" s="2" t="s">
        <v>20</v>
      </c>
      <c r="C40" s="3" t="s">
        <v>46</v>
      </c>
      <c r="D40" s="3" t="s">
        <v>22</v>
      </c>
      <c r="E40" s="2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4">
        <v>45323</v>
      </c>
      <c r="N40" s="5">
        <v>2</v>
      </c>
      <c r="O40" s="3" t="s">
        <v>43</v>
      </c>
      <c r="P40" s="6" t="s">
        <v>24</v>
      </c>
      <c r="Q40" s="14">
        <f t="shared" si="0"/>
        <v>45323</v>
      </c>
      <c r="R40" s="15">
        <f t="shared" si="1"/>
        <v>0.16666666666666666</v>
      </c>
      <c r="S40" s="16">
        <f t="shared" si="2"/>
        <v>0</v>
      </c>
    </row>
    <row r="41" spans="1:19">
      <c r="A41" s="1" t="s">
        <v>33</v>
      </c>
      <c r="B41" s="2" t="s">
        <v>25</v>
      </c>
      <c r="C41" s="3" t="s">
        <v>46</v>
      </c>
      <c r="D41" s="3" t="s">
        <v>22</v>
      </c>
      <c r="E41" s="2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4">
        <v>45383</v>
      </c>
      <c r="N41" s="5">
        <v>4</v>
      </c>
      <c r="O41" s="3" t="s">
        <v>47</v>
      </c>
      <c r="P41" s="6" t="s">
        <v>24</v>
      </c>
      <c r="Q41" s="14">
        <f t="shared" si="0"/>
        <v>45383</v>
      </c>
      <c r="R41" s="15">
        <f t="shared" si="1"/>
        <v>0.75</v>
      </c>
      <c r="S41" s="16">
        <f t="shared" si="2"/>
        <v>0</v>
      </c>
    </row>
    <row r="42" spans="1:19">
      <c r="A42" s="1" t="s">
        <v>26</v>
      </c>
      <c r="B42" s="2" t="s">
        <v>27</v>
      </c>
      <c r="C42" s="3" t="s">
        <v>46</v>
      </c>
      <c r="D42" s="3" t="s">
        <v>22</v>
      </c>
      <c r="E42" s="2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4">
        <v>45444</v>
      </c>
      <c r="N42" s="5">
        <v>6</v>
      </c>
      <c r="O42" s="3" t="s">
        <v>28</v>
      </c>
      <c r="P42" s="6" t="s">
        <v>24</v>
      </c>
      <c r="Q42" s="14">
        <f t="shared" si="0"/>
        <v>45444</v>
      </c>
      <c r="R42" s="15">
        <f t="shared" si="1"/>
        <v>0.33333333333333331</v>
      </c>
      <c r="S42" s="16">
        <f t="shared" si="2"/>
        <v>0</v>
      </c>
    </row>
    <row r="43" spans="1:19">
      <c r="A43" s="1" t="s">
        <v>26</v>
      </c>
      <c r="B43" s="2" t="s">
        <v>25</v>
      </c>
      <c r="C43" s="3" t="s">
        <v>46</v>
      </c>
      <c r="D43" s="3" t="s">
        <v>22</v>
      </c>
      <c r="E43" s="2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4">
        <v>45444</v>
      </c>
      <c r="N43" s="5">
        <v>6</v>
      </c>
      <c r="O43" s="3" t="s">
        <v>28</v>
      </c>
      <c r="P43" s="6" t="s">
        <v>24</v>
      </c>
      <c r="Q43" s="14">
        <f t="shared" si="0"/>
        <v>45444</v>
      </c>
      <c r="R43" s="15">
        <f t="shared" si="1"/>
        <v>0.33333333333333331</v>
      </c>
      <c r="S43" s="16">
        <f t="shared" si="2"/>
        <v>0</v>
      </c>
    </row>
    <row r="44" spans="1:19">
      <c r="A44" s="1" t="s">
        <v>19</v>
      </c>
      <c r="B44" s="2" t="s">
        <v>27</v>
      </c>
      <c r="C44" s="3" t="s">
        <v>46</v>
      </c>
      <c r="D44" s="3" t="s">
        <v>22</v>
      </c>
      <c r="E44" s="2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4">
        <v>45170</v>
      </c>
      <c r="N44" s="5">
        <v>9</v>
      </c>
      <c r="O44" s="3" t="s">
        <v>38</v>
      </c>
      <c r="P44" s="6" t="s">
        <v>40</v>
      </c>
      <c r="Q44" s="14">
        <f t="shared" si="0"/>
        <v>45170</v>
      </c>
      <c r="R44" s="15">
        <f t="shared" si="1"/>
        <v>0.25714285714285712</v>
      </c>
      <c r="S44" s="16">
        <f t="shared" si="2"/>
        <v>0</v>
      </c>
    </row>
    <row r="45" spans="1:19">
      <c r="A45" s="1" t="s">
        <v>36</v>
      </c>
      <c r="B45" s="2" t="s">
        <v>27</v>
      </c>
      <c r="C45" s="3" t="s">
        <v>46</v>
      </c>
      <c r="D45" s="3" t="s">
        <v>22</v>
      </c>
      <c r="E45" s="2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4">
        <v>45536</v>
      </c>
      <c r="N45" s="5">
        <v>9</v>
      </c>
      <c r="O45" s="3" t="s">
        <v>38</v>
      </c>
      <c r="P45" s="6" t="s">
        <v>24</v>
      </c>
      <c r="Q45" s="14">
        <f t="shared" si="0"/>
        <v>45536</v>
      </c>
      <c r="R45" s="15">
        <f t="shared" si="1"/>
        <v>0.16666666666666666</v>
      </c>
      <c r="S45" s="16">
        <f t="shared" si="2"/>
        <v>0</v>
      </c>
    </row>
    <row r="46" spans="1:19">
      <c r="A46" s="1" t="s">
        <v>19</v>
      </c>
      <c r="B46" s="2" t="s">
        <v>20</v>
      </c>
      <c r="C46" s="3" t="s">
        <v>46</v>
      </c>
      <c r="D46" s="3" t="s">
        <v>22</v>
      </c>
      <c r="E46" s="2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4">
        <v>45627</v>
      </c>
      <c r="N46" s="5">
        <v>12</v>
      </c>
      <c r="O46" s="3" t="s">
        <v>30</v>
      </c>
      <c r="P46" s="6" t="s">
        <v>24</v>
      </c>
      <c r="Q46" s="14">
        <f t="shared" si="0"/>
        <v>45627</v>
      </c>
      <c r="R46" s="15">
        <f t="shared" si="1"/>
        <v>0.5</v>
      </c>
      <c r="S46" s="16">
        <f t="shared" si="2"/>
        <v>0</v>
      </c>
    </row>
    <row r="47" spans="1:19">
      <c r="A47" s="1" t="s">
        <v>19</v>
      </c>
      <c r="B47" s="2" t="s">
        <v>27</v>
      </c>
      <c r="C47" s="3" t="s">
        <v>48</v>
      </c>
      <c r="D47" s="3" t="s">
        <v>22</v>
      </c>
      <c r="E47" s="2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4">
        <v>45323</v>
      </c>
      <c r="N47" s="5">
        <v>2</v>
      </c>
      <c r="O47" s="3" t="s">
        <v>43</v>
      </c>
      <c r="P47" s="6" t="s">
        <v>24</v>
      </c>
      <c r="Q47" s="14">
        <f t="shared" si="0"/>
        <v>45323</v>
      </c>
      <c r="R47" s="15">
        <f t="shared" si="1"/>
        <v>0.25714285714285712</v>
      </c>
      <c r="S47" s="16">
        <f t="shared" si="2"/>
        <v>0</v>
      </c>
    </row>
    <row r="48" spans="1:19">
      <c r="A48" s="1" t="s">
        <v>33</v>
      </c>
      <c r="B48" s="2" t="s">
        <v>41</v>
      </c>
      <c r="C48" s="3" t="s">
        <v>48</v>
      </c>
      <c r="D48" s="3" t="s">
        <v>22</v>
      </c>
      <c r="E48" s="2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4">
        <v>45383</v>
      </c>
      <c r="N48" s="5">
        <v>4</v>
      </c>
      <c r="O48" s="3" t="s">
        <v>47</v>
      </c>
      <c r="P48" s="6" t="s">
        <v>24</v>
      </c>
      <c r="Q48" s="14">
        <f t="shared" si="0"/>
        <v>45383</v>
      </c>
      <c r="R48" s="15">
        <f t="shared" si="1"/>
        <v>0.75</v>
      </c>
      <c r="S48" s="16">
        <f t="shared" si="2"/>
        <v>0</v>
      </c>
    </row>
    <row r="49" spans="1:19">
      <c r="A49" s="1" t="s">
        <v>34</v>
      </c>
      <c r="B49" s="2" t="s">
        <v>25</v>
      </c>
      <c r="C49" s="3" t="s">
        <v>48</v>
      </c>
      <c r="D49" s="3" t="s">
        <v>22</v>
      </c>
      <c r="E49" s="2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4">
        <v>45383</v>
      </c>
      <c r="N49" s="5">
        <v>4</v>
      </c>
      <c r="O49" s="3" t="s">
        <v>47</v>
      </c>
      <c r="P49" s="6" t="s">
        <v>24</v>
      </c>
      <c r="Q49" s="14">
        <f t="shared" si="0"/>
        <v>45383</v>
      </c>
      <c r="R49" s="15">
        <f t="shared" si="1"/>
        <v>0.04</v>
      </c>
      <c r="S49" s="16">
        <f t="shared" si="2"/>
        <v>0</v>
      </c>
    </row>
    <row r="50" spans="1:19">
      <c r="A50" s="1" t="s">
        <v>19</v>
      </c>
      <c r="B50" s="2" t="s">
        <v>27</v>
      </c>
      <c r="C50" s="3" t="s">
        <v>48</v>
      </c>
      <c r="D50" s="3" t="s">
        <v>22</v>
      </c>
      <c r="E50" s="2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4">
        <v>45444</v>
      </c>
      <c r="N50" s="5">
        <v>6</v>
      </c>
      <c r="O50" s="3" t="s">
        <v>28</v>
      </c>
      <c r="P50" s="6" t="s">
        <v>24</v>
      </c>
      <c r="Q50" s="14">
        <f t="shared" si="0"/>
        <v>45444</v>
      </c>
      <c r="R50" s="15">
        <f t="shared" si="1"/>
        <v>0.5</v>
      </c>
      <c r="S50" s="16">
        <f t="shared" si="2"/>
        <v>0</v>
      </c>
    </row>
    <row r="51" spans="1:19">
      <c r="A51" s="1" t="s">
        <v>19</v>
      </c>
      <c r="B51" s="2" t="s">
        <v>25</v>
      </c>
      <c r="C51" s="3" t="s">
        <v>48</v>
      </c>
      <c r="D51" s="3" t="s">
        <v>22</v>
      </c>
      <c r="E51" s="2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4">
        <v>45474</v>
      </c>
      <c r="N51" s="5">
        <v>7</v>
      </c>
      <c r="O51" s="3" t="s">
        <v>35</v>
      </c>
      <c r="P51" s="6" t="s">
        <v>24</v>
      </c>
      <c r="Q51" s="14">
        <f t="shared" si="0"/>
        <v>45474</v>
      </c>
      <c r="R51" s="15">
        <f t="shared" si="1"/>
        <v>0.2857142857142857</v>
      </c>
      <c r="S51" s="16">
        <f t="shared" si="2"/>
        <v>0</v>
      </c>
    </row>
    <row r="52" spans="1:19">
      <c r="A52" s="1" t="s">
        <v>33</v>
      </c>
      <c r="B52" s="2" t="s">
        <v>41</v>
      </c>
      <c r="C52" s="3" t="s">
        <v>48</v>
      </c>
      <c r="D52" s="3" t="s">
        <v>22</v>
      </c>
      <c r="E52" s="2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4">
        <v>45505</v>
      </c>
      <c r="N52" s="5">
        <v>8</v>
      </c>
      <c r="O52" s="3" t="s">
        <v>37</v>
      </c>
      <c r="P52" s="6" t="s">
        <v>24</v>
      </c>
      <c r="Q52" s="14">
        <f t="shared" si="0"/>
        <v>45505</v>
      </c>
      <c r="R52" s="15">
        <f t="shared" si="1"/>
        <v>0.75</v>
      </c>
      <c r="S52" s="16">
        <f t="shared" si="2"/>
        <v>0</v>
      </c>
    </row>
    <row r="53" spans="1:19">
      <c r="A53" s="1" t="s">
        <v>19</v>
      </c>
      <c r="B53" s="2" t="s">
        <v>41</v>
      </c>
      <c r="C53" s="3" t="s">
        <v>48</v>
      </c>
      <c r="D53" s="3" t="s">
        <v>22</v>
      </c>
      <c r="E53" s="2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4">
        <v>45566</v>
      </c>
      <c r="N53" s="5">
        <v>10</v>
      </c>
      <c r="O53" s="3" t="s">
        <v>39</v>
      </c>
      <c r="P53" s="6" t="s">
        <v>24</v>
      </c>
      <c r="Q53" s="14">
        <f t="shared" si="0"/>
        <v>45566</v>
      </c>
      <c r="R53" s="15">
        <f t="shared" si="1"/>
        <v>0.2857142857142857</v>
      </c>
      <c r="S53" s="16">
        <f t="shared" si="2"/>
        <v>0</v>
      </c>
    </row>
    <row r="54" spans="1:19">
      <c r="A54" s="1" t="s">
        <v>26</v>
      </c>
      <c r="B54" s="2" t="s">
        <v>41</v>
      </c>
      <c r="C54" s="3" t="s">
        <v>48</v>
      </c>
      <c r="D54" s="3" t="s">
        <v>22</v>
      </c>
      <c r="E54" s="2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4">
        <v>45627</v>
      </c>
      <c r="N54" s="5">
        <v>12</v>
      </c>
      <c r="O54" s="3" t="s">
        <v>30</v>
      </c>
      <c r="P54" s="6" t="s">
        <v>24</v>
      </c>
      <c r="Q54" s="14">
        <f t="shared" si="0"/>
        <v>45627</v>
      </c>
      <c r="R54" s="15">
        <f t="shared" si="1"/>
        <v>0.33333333333333331</v>
      </c>
      <c r="S54" s="16">
        <f t="shared" si="2"/>
        <v>0</v>
      </c>
    </row>
    <row r="55" spans="1:19">
      <c r="A55" s="1" t="s">
        <v>19</v>
      </c>
      <c r="B55" s="2" t="s">
        <v>27</v>
      </c>
      <c r="C55" s="3" t="s">
        <v>42</v>
      </c>
      <c r="D55" s="3" t="s">
        <v>49</v>
      </c>
      <c r="E55" s="2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27338.850000000002</v>
      </c>
      <c r="K55" s="3">
        <v>19725</v>
      </c>
      <c r="L55" s="3">
        <v>7613.8500000000022</v>
      </c>
      <c r="M55" s="4">
        <v>45292</v>
      </c>
      <c r="N55" s="5">
        <v>1</v>
      </c>
      <c r="O55" s="3" t="s">
        <v>23</v>
      </c>
      <c r="P55" s="6" t="s">
        <v>24</v>
      </c>
      <c r="Q55" s="14">
        <f t="shared" si="0"/>
        <v>45292</v>
      </c>
      <c r="R55" s="15">
        <f t="shared" si="1"/>
        <v>0.27849927849927858</v>
      </c>
      <c r="S55" s="16">
        <f t="shared" si="2"/>
        <v>9.9999999999999985E-3</v>
      </c>
    </row>
    <row r="56" spans="1:19">
      <c r="A56" s="1" t="s">
        <v>26</v>
      </c>
      <c r="B56" s="2" t="s">
        <v>27</v>
      </c>
      <c r="C56" s="3" t="s">
        <v>42</v>
      </c>
      <c r="D56" s="3" t="s">
        <v>49</v>
      </c>
      <c r="E56" s="2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11135.599999999999</v>
      </c>
      <c r="M56" s="4">
        <v>45323</v>
      </c>
      <c r="N56" s="5">
        <v>2</v>
      </c>
      <c r="O56" s="3" t="s">
        <v>43</v>
      </c>
      <c r="P56" s="6" t="s">
        <v>24</v>
      </c>
      <c r="Q56" s="14">
        <f t="shared" si="0"/>
        <v>45323</v>
      </c>
      <c r="R56" s="15">
        <f t="shared" si="1"/>
        <v>0.32659932659932656</v>
      </c>
      <c r="S56" s="16">
        <f t="shared" si="2"/>
        <v>9.9999999999999985E-3</v>
      </c>
    </row>
    <row r="57" spans="1:19">
      <c r="A57" s="1" t="s">
        <v>19</v>
      </c>
      <c r="B57" s="2" t="s">
        <v>27</v>
      </c>
      <c r="C57" s="3" t="s">
        <v>42</v>
      </c>
      <c r="D57" s="3" t="s">
        <v>49</v>
      </c>
      <c r="E57" s="2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1987.8999999999996</v>
      </c>
      <c r="M57" s="4">
        <v>45413</v>
      </c>
      <c r="N57" s="5">
        <v>5</v>
      </c>
      <c r="O57" s="3" t="s">
        <v>50</v>
      </c>
      <c r="P57" s="6" t="s">
        <v>24</v>
      </c>
      <c r="Q57" s="14">
        <f t="shared" si="0"/>
        <v>45413</v>
      </c>
      <c r="R57" s="15">
        <f t="shared" si="1"/>
        <v>0.27849927849927847</v>
      </c>
      <c r="S57" s="16">
        <f t="shared" si="2"/>
        <v>9.9999999999999985E-3</v>
      </c>
    </row>
    <row r="58" spans="1:19">
      <c r="A58" s="1" t="s">
        <v>19</v>
      </c>
      <c r="B58" s="2" t="s">
        <v>27</v>
      </c>
      <c r="C58" s="3" t="s">
        <v>45</v>
      </c>
      <c r="D58" s="3" t="s">
        <v>49</v>
      </c>
      <c r="E58" s="2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1233.2700000000004</v>
      </c>
      <c r="M58" s="4">
        <v>45597</v>
      </c>
      <c r="N58" s="5">
        <v>11</v>
      </c>
      <c r="O58" s="3" t="s">
        <v>44</v>
      </c>
      <c r="P58" s="6" t="s">
        <v>24</v>
      </c>
      <c r="Q58" s="14">
        <f t="shared" si="0"/>
        <v>45597</v>
      </c>
      <c r="R58" s="15">
        <f t="shared" si="1"/>
        <v>0.27849927849927858</v>
      </c>
      <c r="S58" s="16">
        <f t="shared" si="2"/>
        <v>9.9999999999999985E-3</v>
      </c>
    </row>
    <row r="59" spans="1:19">
      <c r="A59" s="1" t="s">
        <v>19</v>
      </c>
      <c r="B59" s="2" t="s">
        <v>20</v>
      </c>
      <c r="C59" s="3" t="s">
        <v>46</v>
      </c>
      <c r="D59" s="3" t="s">
        <v>49</v>
      </c>
      <c r="E59" s="2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2559.1800000000003</v>
      </c>
      <c r="M59" s="4">
        <v>45352</v>
      </c>
      <c r="N59" s="5">
        <v>3</v>
      </c>
      <c r="O59" s="3" t="s">
        <v>32</v>
      </c>
      <c r="P59" s="6" t="s">
        <v>24</v>
      </c>
      <c r="Q59" s="14">
        <f t="shared" si="0"/>
        <v>45352</v>
      </c>
      <c r="R59" s="15">
        <f t="shared" si="1"/>
        <v>0.27849927849927852</v>
      </c>
      <c r="S59" s="16">
        <f t="shared" si="2"/>
        <v>9.9999999999999985E-3</v>
      </c>
    </row>
    <row r="60" spans="1:19">
      <c r="A60" s="1" t="s">
        <v>33</v>
      </c>
      <c r="B60" s="2" t="s">
        <v>41</v>
      </c>
      <c r="C60" s="3" t="s">
        <v>21</v>
      </c>
      <c r="D60" s="3" t="s">
        <v>49</v>
      </c>
      <c r="E60" s="2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4">
        <v>45323</v>
      </c>
      <c r="N60" s="5">
        <v>2</v>
      </c>
      <c r="O60" s="3" t="s">
        <v>43</v>
      </c>
      <c r="P60" s="6" t="s">
        <v>24</v>
      </c>
      <c r="Q60" s="14">
        <f t="shared" si="0"/>
        <v>45323</v>
      </c>
      <c r="R60" s="15">
        <f t="shared" si="1"/>
        <v>0.74747474747474751</v>
      </c>
      <c r="S60" s="16">
        <f t="shared" si="2"/>
        <v>0.01</v>
      </c>
    </row>
    <row r="61" spans="1:19">
      <c r="A61" s="1" t="s">
        <v>19</v>
      </c>
      <c r="B61" s="2" t="s">
        <v>29</v>
      </c>
      <c r="C61" s="3" t="s">
        <v>21</v>
      </c>
      <c r="D61" s="3" t="s">
        <v>49</v>
      </c>
      <c r="E61" s="2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4">
        <v>45352</v>
      </c>
      <c r="N61" s="5">
        <v>3</v>
      </c>
      <c r="O61" s="3" t="s">
        <v>32</v>
      </c>
      <c r="P61" s="6" t="s">
        <v>24</v>
      </c>
      <c r="Q61" s="14">
        <f t="shared" si="0"/>
        <v>45352</v>
      </c>
      <c r="R61" s="15">
        <f t="shared" si="1"/>
        <v>0.24963924963924963</v>
      </c>
      <c r="S61" s="16">
        <f t="shared" si="2"/>
        <v>0.01</v>
      </c>
    </row>
    <row r="62" spans="1:19">
      <c r="A62" s="1" t="s">
        <v>19</v>
      </c>
      <c r="B62" s="2" t="s">
        <v>41</v>
      </c>
      <c r="C62" s="3" t="s">
        <v>21</v>
      </c>
      <c r="D62" s="3" t="s">
        <v>49</v>
      </c>
      <c r="E62" s="2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4880.9699999999993</v>
      </c>
      <c r="M62" s="4">
        <v>45474</v>
      </c>
      <c r="N62" s="5">
        <v>7</v>
      </c>
      <c r="O62" s="3" t="s">
        <v>35</v>
      </c>
      <c r="P62" s="6" t="s">
        <v>24</v>
      </c>
      <c r="Q62" s="14">
        <f t="shared" si="0"/>
        <v>45474</v>
      </c>
      <c r="R62" s="15">
        <f t="shared" si="1"/>
        <v>0.27849927849927847</v>
      </c>
      <c r="S62" s="16">
        <f t="shared" si="2"/>
        <v>0.01</v>
      </c>
    </row>
    <row r="63" spans="1:19">
      <c r="A63" s="1" t="s">
        <v>33</v>
      </c>
      <c r="B63" s="2" t="s">
        <v>20</v>
      </c>
      <c r="C63" s="3" t="s">
        <v>21</v>
      </c>
      <c r="D63" s="3" t="s">
        <v>49</v>
      </c>
      <c r="E63" s="2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12831.599999999999</v>
      </c>
      <c r="M63" s="4">
        <v>45536</v>
      </c>
      <c r="N63" s="5">
        <v>9</v>
      </c>
      <c r="O63" s="3" t="s">
        <v>38</v>
      </c>
      <c r="P63" s="6" t="s">
        <v>24</v>
      </c>
      <c r="Q63" s="14">
        <f t="shared" si="0"/>
        <v>45536</v>
      </c>
      <c r="R63" s="15">
        <f t="shared" si="1"/>
        <v>0.7474747474747474</v>
      </c>
      <c r="S63" s="16">
        <f t="shared" si="2"/>
        <v>0.01</v>
      </c>
    </row>
    <row r="64" spans="1:19">
      <c r="A64" s="1" t="s">
        <v>34</v>
      </c>
      <c r="B64" s="2" t="s">
        <v>41</v>
      </c>
      <c r="C64" s="3" t="s">
        <v>21</v>
      </c>
      <c r="D64" s="3" t="s">
        <v>49</v>
      </c>
      <c r="E64" s="2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4">
        <v>45170</v>
      </c>
      <c r="N64" s="5">
        <v>9</v>
      </c>
      <c r="O64" s="3" t="s">
        <v>38</v>
      </c>
      <c r="P64" s="6" t="s">
        <v>40</v>
      </c>
      <c r="Q64" s="14">
        <f t="shared" si="0"/>
        <v>45170</v>
      </c>
      <c r="R64" s="15">
        <f t="shared" si="1"/>
        <v>3.0303030303030304E-2</v>
      </c>
      <c r="S64" s="16">
        <f t="shared" si="2"/>
        <v>0.01</v>
      </c>
    </row>
    <row r="65" spans="1:19">
      <c r="A65" s="1" t="s">
        <v>33</v>
      </c>
      <c r="B65" s="2" t="s">
        <v>27</v>
      </c>
      <c r="C65" s="3" t="s">
        <v>21</v>
      </c>
      <c r="D65" s="3" t="s">
        <v>49</v>
      </c>
      <c r="E65" s="2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4">
        <v>45536</v>
      </c>
      <c r="N65" s="5">
        <v>9</v>
      </c>
      <c r="O65" s="3" t="s">
        <v>38</v>
      </c>
      <c r="P65" s="6" t="s">
        <v>24</v>
      </c>
      <c r="Q65" s="14">
        <f t="shared" si="0"/>
        <v>45536</v>
      </c>
      <c r="R65" s="15">
        <f t="shared" si="1"/>
        <v>0.74747474747474751</v>
      </c>
      <c r="S65" s="16">
        <f t="shared" si="2"/>
        <v>0.01</v>
      </c>
    </row>
    <row r="66" spans="1:19">
      <c r="A66" s="1" t="s">
        <v>33</v>
      </c>
      <c r="B66" s="2" t="s">
        <v>25</v>
      </c>
      <c r="C66" s="3" t="s">
        <v>21</v>
      </c>
      <c r="D66" s="3" t="s">
        <v>49</v>
      </c>
      <c r="E66" s="2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4">
        <v>45200</v>
      </c>
      <c r="N66" s="5">
        <v>10</v>
      </c>
      <c r="O66" s="3" t="s">
        <v>39</v>
      </c>
      <c r="P66" s="6" t="s">
        <v>40</v>
      </c>
      <c r="Q66" s="14">
        <f t="shared" ref="Q66:Q129" si="3">DATE($P66,$N66,1)</f>
        <v>45200</v>
      </c>
      <c r="R66" s="15">
        <f t="shared" ref="R66:R129" si="4">IFERROR($L66/$J66,0)</f>
        <v>0.74747474747474751</v>
      </c>
      <c r="S66" s="16">
        <f t="shared" ref="S66:S129" si="5">IFERROR($I66/$H66,0)</f>
        <v>0.01</v>
      </c>
    </row>
    <row r="67" spans="1:19">
      <c r="A67" s="1" t="s">
        <v>36</v>
      </c>
      <c r="B67" s="2" t="s">
        <v>29</v>
      </c>
      <c r="C67" s="3" t="s">
        <v>21</v>
      </c>
      <c r="D67" s="3" t="s">
        <v>49</v>
      </c>
      <c r="E67" s="2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4">
        <v>45200</v>
      </c>
      <c r="N67" s="5">
        <v>10</v>
      </c>
      <c r="O67" s="3" t="s">
        <v>39</v>
      </c>
      <c r="P67" s="6" t="s">
        <v>40</v>
      </c>
      <c r="Q67" s="14">
        <f t="shared" si="3"/>
        <v>45200</v>
      </c>
      <c r="R67" s="15">
        <f t="shared" si="4"/>
        <v>0.15824915824915825</v>
      </c>
      <c r="S67" s="16">
        <f t="shared" si="5"/>
        <v>0.01</v>
      </c>
    </row>
    <row r="68" spans="1:19">
      <c r="A68" s="1" t="s">
        <v>19</v>
      </c>
      <c r="B68" s="2" t="s">
        <v>29</v>
      </c>
      <c r="C68" s="3" t="s">
        <v>21</v>
      </c>
      <c r="D68" s="3" t="s">
        <v>49</v>
      </c>
      <c r="E68" s="2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4">
        <v>45566</v>
      </c>
      <c r="N68" s="5">
        <v>10</v>
      </c>
      <c r="O68" s="3" t="s">
        <v>39</v>
      </c>
      <c r="P68" s="6" t="s">
        <v>24</v>
      </c>
      <c r="Q68" s="14">
        <f t="shared" si="3"/>
        <v>45566</v>
      </c>
      <c r="R68" s="15">
        <f t="shared" si="4"/>
        <v>0.24963924963924963</v>
      </c>
      <c r="S68" s="16">
        <f t="shared" si="5"/>
        <v>0.01</v>
      </c>
    </row>
    <row r="69" spans="1:19">
      <c r="A69" s="1" t="s">
        <v>19</v>
      </c>
      <c r="B69" s="2" t="s">
        <v>27</v>
      </c>
      <c r="C69" s="3" t="s">
        <v>21</v>
      </c>
      <c r="D69" s="3" t="s">
        <v>49</v>
      </c>
      <c r="E69" s="2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4">
        <v>45627</v>
      </c>
      <c r="N69" s="5">
        <v>12</v>
      </c>
      <c r="O69" s="3" t="s">
        <v>30</v>
      </c>
      <c r="P69" s="6" t="s">
        <v>24</v>
      </c>
      <c r="Q69" s="14">
        <f t="shared" si="3"/>
        <v>45627</v>
      </c>
      <c r="R69" s="15">
        <f t="shared" si="4"/>
        <v>0.24963924963924963</v>
      </c>
      <c r="S69" s="16">
        <f t="shared" si="5"/>
        <v>0.01</v>
      </c>
    </row>
    <row r="70" spans="1:19">
      <c r="A70" s="1" t="s">
        <v>26</v>
      </c>
      <c r="B70" s="2" t="s">
        <v>29</v>
      </c>
      <c r="C70" s="3" t="s">
        <v>31</v>
      </c>
      <c r="D70" s="3" t="s">
        <v>49</v>
      </c>
      <c r="E70" s="2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10737.900000000001</v>
      </c>
      <c r="M70" s="4">
        <v>45352</v>
      </c>
      <c r="N70" s="5">
        <v>3</v>
      </c>
      <c r="O70" s="3" t="s">
        <v>32</v>
      </c>
      <c r="P70" s="6" t="s">
        <v>24</v>
      </c>
      <c r="Q70" s="14">
        <f t="shared" si="3"/>
        <v>45352</v>
      </c>
      <c r="R70" s="15">
        <f t="shared" si="4"/>
        <v>0.32659932659932661</v>
      </c>
      <c r="S70" s="16">
        <f t="shared" si="5"/>
        <v>0.01</v>
      </c>
    </row>
    <row r="71" spans="1:19">
      <c r="A71" s="1" t="s">
        <v>36</v>
      </c>
      <c r="B71" s="2" t="s">
        <v>41</v>
      </c>
      <c r="C71" s="3" t="s">
        <v>31</v>
      </c>
      <c r="D71" s="3" t="s">
        <v>49</v>
      </c>
      <c r="E71" s="2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4">
        <v>45383</v>
      </c>
      <c r="N71" s="5">
        <v>4</v>
      </c>
      <c r="O71" s="3" t="s">
        <v>47</v>
      </c>
      <c r="P71" s="6" t="s">
        <v>24</v>
      </c>
      <c r="Q71" s="14">
        <f t="shared" si="3"/>
        <v>45383</v>
      </c>
      <c r="R71" s="15">
        <f t="shared" si="4"/>
        <v>0.15824915824915825</v>
      </c>
      <c r="S71" s="16">
        <f t="shared" si="5"/>
        <v>0.01</v>
      </c>
    </row>
    <row r="72" spans="1:19">
      <c r="A72" s="1" t="s">
        <v>19</v>
      </c>
      <c r="B72" s="2" t="s">
        <v>27</v>
      </c>
      <c r="C72" s="3" t="s">
        <v>31</v>
      </c>
      <c r="D72" s="3" t="s">
        <v>49</v>
      </c>
      <c r="E72" s="2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27234.899999999998</v>
      </c>
      <c r="K72" s="3">
        <v>13755</v>
      </c>
      <c r="L72" s="3">
        <v>13479.899999999998</v>
      </c>
      <c r="M72" s="4">
        <v>45474</v>
      </c>
      <c r="N72" s="5">
        <v>7</v>
      </c>
      <c r="O72" s="3" t="s">
        <v>35</v>
      </c>
      <c r="P72" s="6" t="s">
        <v>24</v>
      </c>
      <c r="Q72" s="14">
        <f t="shared" si="3"/>
        <v>45474</v>
      </c>
      <c r="R72" s="15">
        <f t="shared" si="4"/>
        <v>0.49494949494949492</v>
      </c>
      <c r="S72" s="16">
        <f t="shared" si="5"/>
        <v>0.01</v>
      </c>
    </row>
    <row r="73" spans="1:19">
      <c r="A73" s="1" t="s">
        <v>19</v>
      </c>
      <c r="B73" s="2" t="s">
        <v>20</v>
      </c>
      <c r="C73" s="3" t="s">
        <v>31</v>
      </c>
      <c r="D73" s="3" t="s">
        <v>49</v>
      </c>
      <c r="E73" s="2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3531.8999999999996</v>
      </c>
      <c r="M73" s="4">
        <v>45505</v>
      </c>
      <c r="N73" s="5">
        <v>8</v>
      </c>
      <c r="O73" s="3" t="s">
        <v>37</v>
      </c>
      <c r="P73" s="6" t="s">
        <v>24</v>
      </c>
      <c r="Q73" s="14">
        <f t="shared" si="3"/>
        <v>45505</v>
      </c>
      <c r="R73" s="15">
        <f t="shared" si="4"/>
        <v>0.27849927849927847</v>
      </c>
      <c r="S73" s="16">
        <f t="shared" si="5"/>
        <v>0.01</v>
      </c>
    </row>
    <row r="74" spans="1:19">
      <c r="A74" s="1" t="s">
        <v>36</v>
      </c>
      <c r="B74" s="2" t="s">
        <v>41</v>
      </c>
      <c r="C74" s="3" t="s">
        <v>31</v>
      </c>
      <c r="D74" s="3" t="s">
        <v>49</v>
      </c>
      <c r="E74" s="2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4">
        <v>45170</v>
      </c>
      <c r="N74" s="5">
        <v>9</v>
      </c>
      <c r="O74" s="3" t="s">
        <v>38</v>
      </c>
      <c r="P74" s="6" t="s">
        <v>40</v>
      </c>
      <c r="Q74" s="14">
        <f t="shared" si="3"/>
        <v>45170</v>
      </c>
      <c r="R74" s="15">
        <f t="shared" si="4"/>
        <v>0.15824915824915825</v>
      </c>
      <c r="S74" s="16">
        <f t="shared" si="5"/>
        <v>0.01</v>
      </c>
    </row>
    <row r="75" spans="1:19">
      <c r="A75" s="1" t="s">
        <v>34</v>
      </c>
      <c r="B75" s="2" t="s">
        <v>41</v>
      </c>
      <c r="C75" s="3" t="s">
        <v>31</v>
      </c>
      <c r="D75" s="3" t="s">
        <v>49</v>
      </c>
      <c r="E75" s="2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4">
        <v>45200</v>
      </c>
      <c r="N75" s="5">
        <v>10</v>
      </c>
      <c r="O75" s="3" t="s">
        <v>39</v>
      </c>
      <c r="P75" s="6" t="s">
        <v>40</v>
      </c>
      <c r="Q75" s="14">
        <f t="shared" si="3"/>
        <v>45200</v>
      </c>
      <c r="R75" s="15">
        <f t="shared" si="4"/>
        <v>3.0303030303030304E-2</v>
      </c>
      <c r="S75" s="16">
        <f t="shared" si="5"/>
        <v>0.01</v>
      </c>
    </row>
    <row r="76" spans="1:19">
      <c r="A76" s="1" t="s">
        <v>26</v>
      </c>
      <c r="B76" s="2" t="s">
        <v>41</v>
      </c>
      <c r="C76" s="3" t="s">
        <v>42</v>
      </c>
      <c r="D76" s="3" t="s">
        <v>49</v>
      </c>
      <c r="E76" s="2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7342.9000000000015</v>
      </c>
      <c r="M76" s="4">
        <v>45323</v>
      </c>
      <c r="N76" s="5">
        <v>2</v>
      </c>
      <c r="O76" s="3" t="s">
        <v>43</v>
      </c>
      <c r="P76" s="6" t="s">
        <v>24</v>
      </c>
      <c r="Q76" s="14">
        <f t="shared" si="3"/>
        <v>45323</v>
      </c>
      <c r="R76" s="15">
        <f t="shared" si="4"/>
        <v>0.32659932659932667</v>
      </c>
      <c r="S76" s="16">
        <f t="shared" si="5"/>
        <v>0.01</v>
      </c>
    </row>
    <row r="77" spans="1:19">
      <c r="A77" s="1" t="s">
        <v>19</v>
      </c>
      <c r="B77" s="2" t="s">
        <v>41</v>
      </c>
      <c r="C77" s="3" t="s">
        <v>42</v>
      </c>
      <c r="D77" s="3" t="s">
        <v>49</v>
      </c>
      <c r="E77" s="2">
        <v>4492.5</v>
      </c>
      <c r="F77" s="3">
        <v>10</v>
      </c>
      <c r="G77" s="3">
        <v>7</v>
      </c>
      <c r="H77" s="3">
        <v>31447.5</v>
      </c>
      <c r="I77" s="3">
        <v>314.47500000000002</v>
      </c>
      <c r="J77" s="3">
        <v>31133.024999999998</v>
      </c>
      <c r="K77" s="3">
        <v>22462.5</v>
      </c>
      <c r="L77" s="3">
        <v>8670.5249999999978</v>
      </c>
      <c r="M77" s="4">
        <v>45383</v>
      </c>
      <c r="N77" s="5">
        <v>4</v>
      </c>
      <c r="O77" s="3" t="s">
        <v>47</v>
      </c>
      <c r="P77" s="6" t="s">
        <v>24</v>
      </c>
      <c r="Q77" s="14">
        <f t="shared" si="3"/>
        <v>45383</v>
      </c>
      <c r="R77" s="15">
        <f t="shared" si="4"/>
        <v>0.27849927849927847</v>
      </c>
      <c r="S77" s="16">
        <f t="shared" si="5"/>
        <v>0.01</v>
      </c>
    </row>
    <row r="78" spans="1:19">
      <c r="A78" s="1" t="s">
        <v>34</v>
      </c>
      <c r="B78" s="2" t="s">
        <v>41</v>
      </c>
      <c r="C78" s="3" t="s">
        <v>42</v>
      </c>
      <c r="D78" s="3" t="s">
        <v>49</v>
      </c>
      <c r="E78" s="2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4">
        <v>45444</v>
      </c>
      <c r="N78" s="5">
        <v>6</v>
      </c>
      <c r="O78" s="3" t="s">
        <v>28</v>
      </c>
      <c r="P78" s="6" t="s">
        <v>24</v>
      </c>
      <c r="Q78" s="14">
        <f t="shared" si="3"/>
        <v>45444</v>
      </c>
      <c r="R78" s="15">
        <f t="shared" si="4"/>
        <v>3.0303030303030304E-2</v>
      </c>
      <c r="S78" s="16">
        <f t="shared" si="5"/>
        <v>0.01</v>
      </c>
    </row>
    <row r="79" spans="1:19">
      <c r="A79" s="1" t="s">
        <v>34</v>
      </c>
      <c r="B79" s="2" t="s">
        <v>27</v>
      </c>
      <c r="C79" s="3" t="s">
        <v>42</v>
      </c>
      <c r="D79" s="3" t="s">
        <v>49</v>
      </c>
      <c r="E79" s="2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4">
        <v>45444</v>
      </c>
      <c r="N79" s="5">
        <v>6</v>
      </c>
      <c r="O79" s="3" t="s">
        <v>28</v>
      </c>
      <c r="P79" s="6" t="s">
        <v>24</v>
      </c>
      <c r="Q79" s="14">
        <f t="shared" si="3"/>
        <v>45444</v>
      </c>
      <c r="R79" s="15">
        <f t="shared" si="4"/>
        <v>3.0303030303030304E-2</v>
      </c>
      <c r="S79" s="16">
        <f t="shared" si="5"/>
        <v>0.01</v>
      </c>
    </row>
    <row r="80" spans="1:19">
      <c r="A80" s="1" t="s">
        <v>34</v>
      </c>
      <c r="B80" s="2" t="s">
        <v>29</v>
      </c>
      <c r="C80" s="3" t="s">
        <v>42</v>
      </c>
      <c r="D80" s="3" t="s">
        <v>49</v>
      </c>
      <c r="E80" s="2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4">
        <v>45474</v>
      </c>
      <c r="N80" s="5">
        <v>7</v>
      </c>
      <c r="O80" s="3" t="s">
        <v>35</v>
      </c>
      <c r="P80" s="6" t="s">
        <v>24</v>
      </c>
      <c r="Q80" s="14">
        <f t="shared" si="3"/>
        <v>45474</v>
      </c>
      <c r="R80" s="15">
        <f t="shared" si="4"/>
        <v>3.0303030303030304E-2</v>
      </c>
      <c r="S80" s="16">
        <f t="shared" si="5"/>
        <v>0.01</v>
      </c>
    </row>
    <row r="81" spans="1:19">
      <c r="A81" s="1" t="s">
        <v>26</v>
      </c>
      <c r="B81" s="2" t="s">
        <v>25</v>
      </c>
      <c r="C81" s="3" t="s">
        <v>42</v>
      </c>
      <c r="D81" s="3" t="s">
        <v>49</v>
      </c>
      <c r="E81" s="2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3622.9500000000007</v>
      </c>
      <c r="M81" s="4">
        <v>45536</v>
      </c>
      <c r="N81" s="5">
        <v>9</v>
      </c>
      <c r="O81" s="3" t="s">
        <v>38</v>
      </c>
      <c r="P81" s="6" t="s">
        <v>24</v>
      </c>
      <c r="Q81" s="14">
        <f t="shared" si="3"/>
        <v>45536</v>
      </c>
      <c r="R81" s="15">
        <f t="shared" si="4"/>
        <v>0.32659932659932667</v>
      </c>
      <c r="S81" s="16">
        <f t="shared" si="5"/>
        <v>0.01</v>
      </c>
    </row>
    <row r="82" spans="1:19">
      <c r="A82" s="1" t="s">
        <v>33</v>
      </c>
      <c r="B82" s="2" t="s">
        <v>25</v>
      </c>
      <c r="C82" s="3" t="s">
        <v>42</v>
      </c>
      <c r="D82" s="3" t="s">
        <v>49</v>
      </c>
      <c r="E82" s="2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4">
        <v>45200</v>
      </c>
      <c r="N82" s="5">
        <v>10</v>
      </c>
      <c r="O82" s="3" t="s">
        <v>39</v>
      </c>
      <c r="P82" s="6" t="s">
        <v>40</v>
      </c>
      <c r="Q82" s="14">
        <f t="shared" si="3"/>
        <v>45200</v>
      </c>
      <c r="R82" s="15">
        <f t="shared" si="4"/>
        <v>0.74747474747474751</v>
      </c>
      <c r="S82" s="16">
        <f t="shared" si="5"/>
        <v>0.01</v>
      </c>
    </row>
    <row r="83" spans="1:19">
      <c r="A83" s="1" t="s">
        <v>36</v>
      </c>
      <c r="B83" s="2" t="s">
        <v>41</v>
      </c>
      <c r="C83" s="3" t="s">
        <v>42</v>
      </c>
      <c r="D83" s="3" t="s">
        <v>49</v>
      </c>
      <c r="E83" s="2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4">
        <v>45597</v>
      </c>
      <c r="N83" s="5">
        <v>11</v>
      </c>
      <c r="O83" s="3" t="s">
        <v>44</v>
      </c>
      <c r="P83" s="6" t="s">
        <v>24</v>
      </c>
      <c r="Q83" s="14">
        <f t="shared" si="3"/>
        <v>45597</v>
      </c>
      <c r="R83" s="15">
        <f t="shared" si="4"/>
        <v>0.15824915824915825</v>
      </c>
      <c r="S83" s="16">
        <f t="shared" si="5"/>
        <v>0.01</v>
      </c>
    </row>
    <row r="84" spans="1:19">
      <c r="A84" s="1" t="s">
        <v>19</v>
      </c>
      <c r="B84" s="2" t="s">
        <v>27</v>
      </c>
      <c r="C84" s="3" t="s">
        <v>42</v>
      </c>
      <c r="D84" s="3" t="s">
        <v>49</v>
      </c>
      <c r="E84" s="2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4">
        <v>45627</v>
      </c>
      <c r="N84" s="5">
        <v>12</v>
      </c>
      <c r="O84" s="3" t="s">
        <v>30</v>
      </c>
      <c r="P84" s="6" t="s">
        <v>24</v>
      </c>
      <c r="Q84" s="14">
        <f t="shared" si="3"/>
        <v>45627</v>
      </c>
      <c r="R84" s="15">
        <f t="shared" si="4"/>
        <v>0.24963924963924963</v>
      </c>
      <c r="S84" s="16">
        <f t="shared" si="5"/>
        <v>0.01</v>
      </c>
    </row>
    <row r="85" spans="1:19">
      <c r="A85" s="1" t="s">
        <v>19</v>
      </c>
      <c r="B85" s="2" t="s">
        <v>27</v>
      </c>
      <c r="C85" s="3" t="s">
        <v>45</v>
      </c>
      <c r="D85" s="3" t="s">
        <v>49</v>
      </c>
      <c r="E85" s="2">
        <v>3864</v>
      </c>
      <c r="F85" s="3">
        <v>120</v>
      </c>
      <c r="G85" s="3">
        <v>20</v>
      </c>
      <c r="H85" s="3">
        <v>77280</v>
      </c>
      <c r="I85" s="3">
        <v>772.80000000000007</v>
      </c>
      <c r="J85" s="3">
        <v>76507.200000000012</v>
      </c>
      <c r="K85" s="3">
        <v>38640</v>
      </c>
      <c r="L85" s="3">
        <v>37867.200000000004</v>
      </c>
      <c r="M85" s="4">
        <v>45383</v>
      </c>
      <c r="N85" s="5">
        <v>4</v>
      </c>
      <c r="O85" s="3" t="s">
        <v>47</v>
      </c>
      <c r="P85" s="6" t="s">
        <v>24</v>
      </c>
      <c r="Q85" s="14">
        <f t="shared" si="3"/>
        <v>45383</v>
      </c>
      <c r="R85" s="15">
        <f t="shared" si="4"/>
        <v>0.49494949494949492</v>
      </c>
      <c r="S85" s="16">
        <f t="shared" si="5"/>
        <v>0.01</v>
      </c>
    </row>
    <row r="86" spans="1:19">
      <c r="A86" s="1" t="s">
        <v>19</v>
      </c>
      <c r="B86" s="2" t="s">
        <v>29</v>
      </c>
      <c r="C86" s="3" t="s">
        <v>45</v>
      </c>
      <c r="D86" s="3" t="s">
        <v>49</v>
      </c>
      <c r="E86" s="2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698.65999999999985</v>
      </c>
      <c r="M86" s="4">
        <v>45413</v>
      </c>
      <c r="N86" s="5">
        <v>5</v>
      </c>
      <c r="O86" s="3" t="s">
        <v>50</v>
      </c>
      <c r="P86" s="6" t="s">
        <v>24</v>
      </c>
      <c r="Q86" s="14">
        <f t="shared" si="3"/>
        <v>45413</v>
      </c>
      <c r="R86" s="15">
        <f t="shared" si="4"/>
        <v>0.27849927849927847</v>
      </c>
      <c r="S86" s="16">
        <f t="shared" si="5"/>
        <v>0.01</v>
      </c>
    </row>
    <row r="87" spans="1:19">
      <c r="A87" s="1" t="s">
        <v>34</v>
      </c>
      <c r="B87" s="2" t="s">
        <v>20</v>
      </c>
      <c r="C87" s="3" t="s">
        <v>45</v>
      </c>
      <c r="D87" s="3" t="s">
        <v>49</v>
      </c>
      <c r="E87" s="2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4">
        <v>45505</v>
      </c>
      <c r="N87" s="5">
        <v>8</v>
      </c>
      <c r="O87" s="3" t="s">
        <v>37</v>
      </c>
      <c r="P87" s="6" t="s">
        <v>24</v>
      </c>
      <c r="Q87" s="14">
        <f t="shared" si="3"/>
        <v>45505</v>
      </c>
      <c r="R87" s="15">
        <f t="shared" si="4"/>
        <v>3.0303030303030304E-2</v>
      </c>
      <c r="S87" s="16">
        <f t="shared" si="5"/>
        <v>0.01</v>
      </c>
    </row>
    <row r="88" spans="1:19">
      <c r="A88" s="1" t="s">
        <v>34</v>
      </c>
      <c r="B88" s="2" t="s">
        <v>41</v>
      </c>
      <c r="C88" s="3" t="s">
        <v>45</v>
      </c>
      <c r="D88" s="3" t="s">
        <v>49</v>
      </c>
      <c r="E88" s="2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4">
        <v>45200</v>
      </c>
      <c r="N88" s="5">
        <v>10</v>
      </c>
      <c r="O88" s="3" t="s">
        <v>39</v>
      </c>
      <c r="P88" s="6" t="s">
        <v>40</v>
      </c>
      <c r="Q88" s="14">
        <f t="shared" si="3"/>
        <v>45200</v>
      </c>
      <c r="R88" s="15">
        <f t="shared" si="4"/>
        <v>3.0303030303030304E-2</v>
      </c>
      <c r="S88" s="16">
        <f t="shared" si="5"/>
        <v>0.01</v>
      </c>
    </row>
    <row r="89" spans="1:19">
      <c r="A89" s="1" t="s">
        <v>19</v>
      </c>
      <c r="B89" s="2" t="s">
        <v>20</v>
      </c>
      <c r="C89" s="3" t="s">
        <v>45</v>
      </c>
      <c r="D89" s="3" t="s">
        <v>49</v>
      </c>
      <c r="E89" s="2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4037.5599999999995</v>
      </c>
      <c r="M89" s="4">
        <v>45231</v>
      </c>
      <c r="N89" s="5">
        <v>11</v>
      </c>
      <c r="O89" s="3" t="s">
        <v>44</v>
      </c>
      <c r="P89" s="6" t="s">
        <v>40</v>
      </c>
      <c r="Q89" s="14">
        <f t="shared" si="3"/>
        <v>45231</v>
      </c>
      <c r="R89" s="15">
        <f t="shared" si="4"/>
        <v>0.27849927849927847</v>
      </c>
      <c r="S89" s="16">
        <f t="shared" si="5"/>
        <v>0.01</v>
      </c>
    </row>
    <row r="90" spans="1:19">
      <c r="A90" s="1" t="s">
        <v>19</v>
      </c>
      <c r="B90" s="2" t="s">
        <v>25</v>
      </c>
      <c r="C90" s="3" t="s">
        <v>46</v>
      </c>
      <c r="D90" s="3" t="s">
        <v>49</v>
      </c>
      <c r="E90" s="2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507.58999999999992</v>
      </c>
      <c r="M90" s="4">
        <v>45352</v>
      </c>
      <c r="N90" s="5">
        <v>3</v>
      </c>
      <c r="O90" s="3" t="s">
        <v>32</v>
      </c>
      <c r="P90" s="6" t="s">
        <v>24</v>
      </c>
      <c r="Q90" s="14">
        <f t="shared" si="3"/>
        <v>45352</v>
      </c>
      <c r="R90" s="15">
        <f t="shared" si="4"/>
        <v>0.27849927849927847</v>
      </c>
      <c r="S90" s="16">
        <f t="shared" si="5"/>
        <v>0.01</v>
      </c>
    </row>
    <row r="91" spans="1:19">
      <c r="A91" s="1" t="s">
        <v>19</v>
      </c>
      <c r="B91" s="2" t="s">
        <v>20</v>
      </c>
      <c r="C91" s="3" t="s">
        <v>46</v>
      </c>
      <c r="D91" s="3" t="s">
        <v>49</v>
      </c>
      <c r="E91" s="2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4">
        <v>45383</v>
      </c>
      <c r="N91" s="5">
        <v>4</v>
      </c>
      <c r="O91" s="3" t="s">
        <v>47</v>
      </c>
      <c r="P91" s="6" t="s">
        <v>24</v>
      </c>
      <c r="Q91" s="14">
        <f t="shared" si="3"/>
        <v>45383</v>
      </c>
      <c r="R91" s="15">
        <f t="shared" si="4"/>
        <v>0.24963924963924963</v>
      </c>
      <c r="S91" s="16">
        <f t="shared" si="5"/>
        <v>0.01</v>
      </c>
    </row>
    <row r="92" spans="1:19">
      <c r="A92" s="1" t="s">
        <v>34</v>
      </c>
      <c r="B92" s="2" t="s">
        <v>41</v>
      </c>
      <c r="C92" s="3" t="s">
        <v>46</v>
      </c>
      <c r="D92" s="3" t="s">
        <v>49</v>
      </c>
      <c r="E92" s="2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4">
        <v>45444</v>
      </c>
      <c r="N92" s="5">
        <v>6</v>
      </c>
      <c r="O92" s="3" t="s">
        <v>28</v>
      </c>
      <c r="P92" s="6" t="s">
        <v>24</v>
      </c>
      <c r="Q92" s="14">
        <f t="shared" si="3"/>
        <v>45444</v>
      </c>
      <c r="R92" s="15">
        <f t="shared" si="4"/>
        <v>3.0303030303030304E-2</v>
      </c>
      <c r="S92" s="16">
        <f t="shared" si="5"/>
        <v>0.01</v>
      </c>
    </row>
    <row r="93" spans="1:19">
      <c r="A93" s="1" t="s">
        <v>34</v>
      </c>
      <c r="B93" s="2" t="s">
        <v>27</v>
      </c>
      <c r="C93" s="3" t="s">
        <v>46</v>
      </c>
      <c r="D93" s="3" t="s">
        <v>49</v>
      </c>
      <c r="E93" s="2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4">
        <v>45444</v>
      </c>
      <c r="N93" s="5">
        <v>6</v>
      </c>
      <c r="O93" s="3" t="s">
        <v>28</v>
      </c>
      <c r="P93" s="6" t="s">
        <v>24</v>
      </c>
      <c r="Q93" s="14">
        <f t="shared" si="3"/>
        <v>45444</v>
      </c>
      <c r="R93" s="15">
        <f t="shared" si="4"/>
        <v>3.0303030303030304E-2</v>
      </c>
      <c r="S93" s="16">
        <f t="shared" si="5"/>
        <v>0.01</v>
      </c>
    </row>
    <row r="94" spans="1:19">
      <c r="A94" s="1" t="s">
        <v>36</v>
      </c>
      <c r="B94" s="2" t="s">
        <v>25</v>
      </c>
      <c r="C94" s="3" t="s">
        <v>46</v>
      </c>
      <c r="D94" s="3" t="s">
        <v>49</v>
      </c>
      <c r="E94" s="2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4">
        <v>45536</v>
      </c>
      <c r="N94" s="5">
        <v>9</v>
      </c>
      <c r="O94" s="3" t="s">
        <v>38</v>
      </c>
      <c r="P94" s="6" t="s">
        <v>24</v>
      </c>
      <c r="Q94" s="14">
        <f t="shared" si="3"/>
        <v>45536</v>
      </c>
      <c r="R94" s="15">
        <f t="shared" si="4"/>
        <v>0.15824915824915825</v>
      </c>
      <c r="S94" s="16">
        <f t="shared" si="5"/>
        <v>0.01</v>
      </c>
    </row>
    <row r="95" spans="1:19">
      <c r="A95" s="1" t="s">
        <v>36</v>
      </c>
      <c r="B95" s="2" t="s">
        <v>29</v>
      </c>
      <c r="C95" s="3" t="s">
        <v>46</v>
      </c>
      <c r="D95" s="3" t="s">
        <v>49</v>
      </c>
      <c r="E95" s="2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4">
        <v>45200</v>
      </c>
      <c r="N95" s="5">
        <v>10</v>
      </c>
      <c r="O95" s="3" t="s">
        <v>39</v>
      </c>
      <c r="P95" s="6" t="s">
        <v>40</v>
      </c>
      <c r="Q95" s="14">
        <f t="shared" si="3"/>
        <v>45200</v>
      </c>
      <c r="R95" s="15">
        <f t="shared" si="4"/>
        <v>0.15824915824915825</v>
      </c>
      <c r="S95" s="16">
        <f t="shared" si="5"/>
        <v>0.01</v>
      </c>
    </row>
    <row r="96" spans="1:19">
      <c r="A96" s="1" t="s">
        <v>19</v>
      </c>
      <c r="B96" s="2" t="s">
        <v>29</v>
      </c>
      <c r="C96" s="3" t="s">
        <v>46</v>
      </c>
      <c r="D96" s="3" t="s">
        <v>49</v>
      </c>
      <c r="E96" s="2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4">
        <v>45566</v>
      </c>
      <c r="N96" s="5">
        <v>10</v>
      </c>
      <c r="O96" s="3" t="s">
        <v>39</v>
      </c>
      <c r="P96" s="6" t="s">
        <v>24</v>
      </c>
      <c r="Q96" s="14">
        <f t="shared" si="3"/>
        <v>45566</v>
      </c>
      <c r="R96" s="15">
        <f t="shared" si="4"/>
        <v>0.24963924963924963</v>
      </c>
      <c r="S96" s="16">
        <f t="shared" si="5"/>
        <v>0.01</v>
      </c>
    </row>
    <row r="97" spans="1:19">
      <c r="A97" s="1" t="s">
        <v>34</v>
      </c>
      <c r="B97" s="2" t="s">
        <v>27</v>
      </c>
      <c r="C97" s="3" t="s">
        <v>46</v>
      </c>
      <c r="D97" s="3" t="s">
        <v>49</v>
      </c>
      <c r="E97" s="2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4">
        <v>45597</v>
      </c>
      <c r="N97" s="5">
        <v>11</v>
      </c>
      <c r="O97" s="3" t="s">
        <v>44</v>
      </c>
      <c r="P97" s="6" t="s">
        <v>24</v>
      </c>
      <c r="Q97" s="14">
        <f t="shared" si="3"/>
        <v>45597</v>
      </c>
      <c r="R97" s="15">
        <f t="shared" si="4"/>
        <v>3.0303030303030304E-2</v>
      </c>
      <c r="S97" s="16">
        <f t="shared" si="5"/>
        <v>0.01</v>
      </c>
    </row>
    <row r="98" spans="1:19">
      <c r="A98" s="1" t="s">
        <v>33</v>
      </c>
      <c r="B98" s="2" t="s">
        <v>41</v>
      </c>
      <c r="C98" s="3" t="s">
        <v>48</v>
      </c>
      <c r="D98" s="3" t="s">
        <v>49</v>
      </c>
      <c r="E98" s="2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4">
        <v>45170</v>
      </c>
      <c r="N98" s="5">
        <v>9</v>
      </c>
      <c r="O98" s="3" t="s">
        <v>38</v>
      </c>
      <c r="P98" s="6" t="s">
        <v>40</v>
      </c>
      <c r="Q98" s="14">
        <f t="shared" si="3"/>
        <v>45170</v>
      </c>
      <c r="R98" s="15">
        <f t="shared" si="4"/>
        <v>0.74747474747474751</v>
      </c>
      <c r="S98" s="16">
        <f t="shared" si="5"/>
        <v>0.01</v>
      </c>
    </row>
    <row r="99" spans="1:19">
      <c r="A99" s="1" t="s">
        <v>26</v>
      </c>
      <c r="B99" s="2" t="s">
        <v>27</v>
      </c>
      <c r="C99" s="3" t="s">
        <v>48</v>
      </c>
      <c r="D99" s="3" t="s">
        <v>49</v>
      </c>
      <c r="E99" s="2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1556.8500000000004</v>
      </c>
      <c r="M99" s="4">
        <v>45231</v>
      </c>
      <c r="N99" s="5">
        <v>11</v>
      </c>
      <c r="O99" s="3" t="s">
        <v>44</v>
      </c>
      <c r="P99" s="6" t="s">
        <v>40</v>
      </c>
      <c r="Q99" s="14">
        <f t="shared" si="3"/>
        <v>45231</v>
      </c>
      <c r="R99" s="15">
        <f t="shared" si="4"/>
        <v>0.32659932659932667</v>
      </c>
      <c r="S99" s="16">
        <f t="shared" si="5"/>
        <v>0.01</v>
      </c>
    </row>
    <row r="100" spans="1:19">
      <c r="A100" s="1" t="s">
        <v>34</v>
      </c>
      <c r="B100" s="2" t="s">
        <v>20</v>
      </c>
      <c r="C100" s="3" t="s">
        <v>21</v>
      </c>
      <c r="D100" s="3" t="s">
        <v>49</v>
      </c>
      <c r="E100" s="2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4">
        <v>45383</v>
      </c>
      <c r="N100" s="5">
        <v>4</v>
      </c>
      <c r="O100" s="3" t="s">
        <v>47</v>
      </c>
      <c r="P100" s="6" t="s">
        <v>24</v>
      </c>
      <c r="Q100" s="14">
        <f t="shared" si="3"/>
        <v>45383</v>
      </c>
      <c r="R100" s="15">
        <f t="shared" si="4"/>
        <v>2.0408163265306121E-2</v>
      </c>
      <c r="S100" s="16">
        <f t="shared" si="5"/>
        <v>0.02</v>
      </c>
    </row>
    <row r="101" spans="1:19">
      <c r="A101" s="1" t="s">
        <v>33</v>
      </c>
      <c r="B101" s="2" t="s">
        <v>20</v>
      </c>
      <c r="C101" s="3" t="s">
        <v>21</v>
      </c>
      <c r="D101" s="3" t="s">
        <v>49</v>
      </c>
      <c r="E101" s="2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4">
        <v>45566</v>
      </c>
      <c r="N101" s="5">
        <v>10</v>
      </c>
      <c r="O101" s="3" t="s">
        <v>39</v>
      </c>
      <c r="P101" s="6" t="s">
        <v>24</v>
      </c>
      <c r="Q101" s="14">
        <f t="shared" si="3"/>
        <v>45566</v>
      </c>
      <c r="R101" s="15">
        <f t="shared" si="4"/>
        <v>0.74489795918367352</v>
      </c>
      <c r="S101" s="16">
        <f t="shared" si="5"/>
        <v>0.02</v>
      </c>
    </row>
    <row r="102" spans="1:19">
      <c r="A102" s="1" t="s">
        <v>36</v>
      </c>
      <c r="B102" s="2" t="s">
        <v>25</v>
      </c>
      <c r="C102" s="3" t="s">
        <v>21</v>
      </c>
      <c r="D102" s="3" t="s">
        <v>49</v>
      </c>
      <c r="E102" s="2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4">
        <v>45200</v>
      </c>
      <c r="N102" s="5">
        <v>10</v>
      </c>
      <c r="O102" s="3" t="s">
        <v>39</v>
      </c>
      <c r="P102" s="6" t="s">
        <v>40</v>
      </c>
      <c r="Q102" s="14">
        <f t="shared" si="3"/>
        <v>45200</v>
      </c>
      <c r="R102" s="15">
        <f t="shared" si="4"/>
        <v>0.14965986394557823</v>
      </c>
      <c r="S102" s="16">
        <f t="shared" si="5"/>
        <v>0.02</v>
      </c>
    </row>
    <row r="103" spans="1:19">
      <c r="A103" s="1" t="s">
        <v>19</v>
      </c>
      <c r="B103" s="2" t="s">
        <v>27</v>
      </c>
      <c r="C103" s="3" t="s">
        <v>21</v>
      </c>
      <c r="D103" s="3" t="s">
        <v>49</v>
      </c>
      <c r="E103" s="2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3989.7000000000007</v>
      </c>
      <c r="M103" s="4">
        <v>45231</v>
      </c>
      <c r="N103" s="5">
        <v>11</v>
      </c>
      <c r="O103" s="3" t="s">
        <v>44</v>
      </c>
      <c r="P103" s="6" t="s">
        <v>40</v>
      </c>
      <c r="Q103" s="14">
        <f t="shared" si="3"/>
        <v>45231</v>
      </c>
      <c r="R103" s="15">
        <f t="shared" si="4"/>
        <v>0.2711370262390671</v>
      </c>
      <c r="S103" s="16">
        <f t="shared" si="5"/>
        <v>0.02</v>
      </c>
    </row>
    <row r="104" spans="1:19">
      <c r="A104" s="1" t="s">
        <v>19</v>
      </c>
      <c r="B104" s="2" t="s">
        <v>20</v>
      </c>
      <c r="C104" s="3" t="s">
        <v>21</v>
      </c>
      <c r="D104" s="3" t="s">
        <v>49</v>
      </c>
      <c r="E104" s="2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4">
        <v>45627</v>
      </c>
      <c r="N104" s="5">
        <v>12</v>
      </c>
      <c r="O104" s="3" t="s">
        <v>30</v>
      </c>
      <c r="P104" s="6" t="s">
        <v>24</v>
      </c>
      <c r="Q104" s="14">
        <f t="shared" si="3"/>
        <v>45627</v>
      </c>
      <c r="R104" s="15">
        <f t="shared" si="4"/>
        <v>0.24198250728862974</v>
      </c>
      <c r="S104" s="16">
        <f t="shared" si="5"/>
        <v>0.02</v>
      </c>
    </row>
    <row r="105" spans="1:19">
      <c r="A105" s="1" t="s">
        <v>33</v>
      </c>
      <c r="B105" s="2" t="s">
        <v>41</v>
      </c>
      <c r="C105" s="3" t="s">
        <v>31</v>
      </c>
      <c r="D105" s="3" t="s">
        <v>49</v>
      </c>
      <c r="E105" s="2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4">
        <v>45444</v>
      </c>
      <c r="N105" s="5">
        <v>6</v>
      </c>
      <c r="O105" s="3" t="s">
        <v>28</v>
      </c>
      <c r="P105" s="6" t="s">
        <v>24</v>
      </c>
      <c r="Q105" s="14">
        <f t="shared" si="3"/>
        <v>45444</v>
      </c>
      <c r="R105" s="15">
        <f t="shared" si="4"/>
        <v>0.74489795918367352</v>
      </c>
      <c r="S105" s="16">
        <f t="shared" si="5"/>
        <v>0.02</v>
      </c>
    </row>
    <row r="106" spans="1:19">
      <c r="A106" s="1" t="s">
        <v>19</v>
      </c>
      <c r="B106" s="2" t="s">
        <v>41</v>
      </c>
      <c r="C106" s="3" t="s">
        <v>31</v>
      </c>
      <c r="D106" s="3" t="s">
        <v>49</v>
      </c>
      <c r="E106" s="2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15033.599999999999</v>
      </c>
      <c r="M106" s="4">
        <v>45566</v>
      </c>
      <c r="N106" s="5">
        <v>10</v>
      </c>
      <c r="O106" s="3" t="s">
        <v>39</v>
      </c>
      <c r="P106" s="6" t="s">
        <v>24</v>
      </c>
      <c r="Q106" s="14">
        <f t="shared" si="3"/>
        <v>45566</v>
      </c>
      <c r="R106" s="15">
        <f t="shared" si="4"/>
        <v>0.48979591836734693</v>
      </c>
      <c r="S106" s="16">
        <f t="shared" si="5"/>
        <v>0.02</v>
      </c>
    </row>
    <row r="107" spans="1:19">
      <c r="A107" s="1" t="s">
        <v>33</v>
      </c>
      <c r="B107" s="2" t="s">
        <v>29</v>
      </c>
      <c r="C107" s="3" t="s">
        <v>31</v>
      </c>
      <c r="D107" s="3" t="s">
        <v>49</v>
      </c>
      <c r="E107" s="2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4">
        <v>45597</v>
      </c>
      <c r="N107" s="5">
        <v>11</v>
      </c>
      <c r="O107" s="3" t="s">
        <v>44</v>
      </c>
      <c r="P107" s="6" t="s">
        <v>24</v>
      </c>
      <c r="Q107" s="14">
        <f t="shared" si="3"/>
        <v>45597</v>
      </c>
      <c r="R107" s="15">
        <f t="shared" si="4"/>
        <v>0.74489795918367341</v>
      </c>
      <c r="S107" s="16">
        <f t="shared" si="5"/>
        <v>0.02</v>
      </c>
    </row>
    <row r="108" spans="1:19">
      <c r="A108" s="1" t="s">
        <v>34</v>
      </c>
      <c r="B108" s="2" t="s">
        <v>29</v>
      </c>
      <c r="C108" s="3" t="s">
        <v>31</v>
      </c>
      <c r="D108" s="3" t="s">
        <v>49</v>
      </c>
      <c r="E108" s="2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4">
        <v>45231</v>
      </c>
      <c r="N108" s="5">
        <v>11</v>
      </c>
      <c r="O108" s="3" t="s">
        <v>44</v>
      </c>
      <c r="P108" s="6" t="s">
        <v>40</v>
      </c>
      <c r="Q108" s="14">
        <f t="shared" si="3"/>
        <v>45231</v>
      </c>
      <c r="R108" s="15">
        <f t="shared" si="4"/>
        <v>2.0408163265306121E-2</v>
      </c>
      <c r="S108" s="16">
        <f t="shared" si="5"/>
        <v>0.02</v>
      </c>
    </row>
    <row r="109" spans="1:19">
      <c r="A109" s="1" t="s">
        <v>26</v>
      </c>
      <c r="B109" s="2" t="s">
        <v>20</v>
      </c>
      <c r="C109" s="3" t="s">
        <v>42</v>
      </c>
      <c r="D109" s="3" t="s">
        <v>49</v>
      </c>
      <c r="E109" s="2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11106.099999999999</v>
      </c>
      <c r="M109" s="4">
        <v>45323</v>
      </c>
      <c r="N109" s="5">
        <v>2</v>
      </c>
      <c r="O109" s="3" t="s">
        <v>43</v>
      </c>
      <c r="P109" s="6" t="s">
        <v>24</v>
      </c>
      <c r="Q109" s="14">
        <f t="shared" si="3"/>
        <v>45323</v>
      </c>
      <c r="R109" s="15">
        <f t="shared" si="4"/>
        <v>0.31972789115646255</v>
      </c>
      <c r="S109" s="16">
        <f t="shared" si="5"/>
        <v>0.02</v>
      </c>
    </row>
    <row r="110" spans="1:19">
      <c r="A110" s="1" t="s">
        <v>36</v>
      </c>
      <c r="B110" s="2" t="s">
        <v>27</v>
      </c>
      <c r="C110" s="3" t="s">
        <v>42</v>
      </c>
      <c r="D110" s="3" t="s">
        <v>49</v>
      </c>
      <c r="E110" s="2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4">
        <v>45413</v>
      </c>
      <c r="N110" s="5">
        <v>5</v>
      </c>
      <c r="O110" s="3" t="s">
        <v>50</v>
      </c>
      <c r="P110" s="6" t="s">
        <v>24</v>
      </c>
      <c r="Q110" s="14">
        <f t="shared" si="3"/>
        <v>45413</v>
      </c>
      <c r="R110" s="15">
        <f t="shared" si="4"/>
        <v>0.14965986394557823</v>
      </c>
      <c r="S110" s="16">
        <f t="shared" si="5"/>
        <v>0.02</v>
      </c>
    </row>
    <row r="111" spans="1:19">
      <c r="A111" s="1" t="s">
        <v>36</v>
      </c>
      <c r="B111" s="2" t="s">
        <v>25</v>
      </c>
      <c r="C111" s="3" t="s">
        <v>42</v>
      </c>
      <c r="D111" s="3" t="s">
        <v>49</v>
      </c>
      <c r="E111" s="2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4">
        <v>45413</v>
      </c>
      <c r="N111" s="5">
        <v>5</v>
      </c>
      <c r="O111" s="3" t="s">
        <v>50</v>
      </c>
      <c r="P111" s="6" t="s">
        <v>24</v>
      </c>
      <c r="Q111" s="14">
        <f t="shared" si="3"/>
        <v>45413</v>
      </c>
      <c r="R111" s="15">
        <f t="shared" si="4"/>
        <v>0.14965986394557823</v>
      </c>
      <c r="S111" s="16">
        <f t="shared" si="5"/>
        <v>0.02</v>
      </c>
    </row>
    <row r="112" spans="1:19">
      <c r="A112" s="1" t="s">
        <v>33</v>
      </c>
      <c r="B112" s="2" t="s">
        <v>41</v>
      </c>
      <c r="C112" s="3" t="s">
        <v>42</v>
      </c>
      <c r="D112" s="3" t="s">
        <v>49</v>
      </c>
      <c r="E112" s="2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4">
        <v>45444</v>
      </c>
      <c r="N112" s="5">
        <v>6</v>
      </c>
      <c r="O112" s="3" t="s">
        <v>28</v>
      </c>
      <c r="P112" s="6" t="s">
        <v>24</v>
      </c>
      <c r="Q112" s="14">
        <f t="shared" si="3"/>
        <v>45444</v>
      </c>
      <c r="R112" s="15">
        <f t="shared" si="4"/>
        <v>0.74489795918367352</v>
      </c>
      <c r="S112" s="16">
        <f t="shared" si="5"/>
        <v>0.02</v>
      </c>
    </row>
    <row r="113" spans="1:19">
      <c r="A113" s="1" t="s">
        <v>34</v>
      </c>
      <c r="B113" s="2" t="s">
        <v>29</v>
      </c>
      <c r="C113" s="3" t="s">
        <v>42</v>
      </c>
      <c r="D113" s="3" t="s">
        <v>49</v>
      </c>
      <c r="E113" s="2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4">
        <v>45444</v>
      </c>
      <c r="N113" s="5">
        <v>6</v>
      </c>
      <c r="O113" s="3" t="s">
        <v>28</v>
      </c>
      <c r="P113" s="6" t="s">
        <v>24</v>
      </c>
      <c r="Q113" s="14">
        <f t="shared" si="3"/>
        <v>45444</v>
      </c>
      <c r="R113" s="15">
        <f t="shared" si="4"/>
        <v>2.0408163265306121E-2</v>
      </c>
      <c r="S113" s="16">
        <f t="shared" si="5"/>
        <v>0.02</v>
      </c>
    </row>
    <row r="114" spans="1:19">
      <c r="A114" s="1" t="s">
        <v>33</v>
      </c>
      <c r="B114" s="2" t="s">
        <v>20</v>
      </c>
      <c r="C114" s="3" t="s">
        <v>42</v>
      </c>
      <c r="D114" s="3" t="s">
        <v>49</v>
      </c>
      <c r="E114" s="2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4">
        <v>45566</v>
      </c>
      <c r="N114" s="5">
        <v>10</v>
      </c>
      <c r="O114" s="3" t="s">
        <v>39</v>
      </c>
      <c r="P114" s="6" t="s">
        <v>24</v>
      </c>
      <c r="Q114" s="14">
        <f t="shared" si="3"/>
        <v>45566</v>
      </c>
      <c r="R114" s="15">
        <f t="shared" si="4"/>
        <v>0.74489795918367352</v>
      </c>
      <c r="S114" s="16">
        <f t="shared" si="5"/>
        <v>0.02</v>
      </c>
    </row>
    <row r="115" spans="1:19">
      <c r="A115" s="1" t="s">
        <v>34</v>
      </c>
      <c r="B115" s="2" t="s">
        <v>25</v>
      </c>
      <c r="C115" s="3" t="s">
        <v>42</v>
      </c>
      <c r="D115" s="3" t="s">
        <v>49</v>
      </c>
      <c r="E115" s="2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4">
        <v>45200</v>
      </c>
      <c r="N115" s="5">
        <v>10</v>
      </c>
      <c r="O115" s="3" t="s">
        <v>39</v>
      </c>
      <c r="P115" s="6" t="s">
        <v>40</v>
      </c>
      <c r="Q115" s="14">
        <f t="shared" si="3"/>
        <v>45200</v>
      </c>
      <c r="R115" s="15">
        <f t="shared" si="4"/>
        <v>2.0408163265306121E-2</v>
      </c>
      <c r="S115" s="16">
        <f t="shared" si="5"/>
        <v>0.02</v>
      </c>
    </row>
    <row r="116" spans="1:19">
      <c r="A116" s="1" t="s">
        <v>34</v>
      </c>
      <c r="B116" s="2" t="s">
        <v>29</v>
      </c>
      <c r="C116" s="3" t="s">
        <v>42</v>
      </c>
      <c r="D116" s="3" t="s">
        <v>49</v>
      </c>
      <c r="E116" s="2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4">
        <v>45200</v>
      </c>
      <c r="N116" s="5">
        <v>10</v>
      </c>
      <c r="O116" s="3" t="s">
        <v>39</v>
      </c>
      <c r="P116" s="6" t="s">
        <v>40</v>
      </c>
      <c r="Q116" s="14">
        <f t="shared" si="3"/>
        <v>45200</v>
      </c>
      <c r="R116" s="15">
        <f t="shared" si="4"/>
        <v>2.0408163265306121E-2</v>
      </c>
      <c r="S116" s="16">
        <f t="shared" si="5"/>
        <v>0.02</v>
      </c>
    </row>
    <row r="117" spans="1:19">
      <c r="A117" s="1" t="s">
        <v>33</v>
      </c>
      <c r="B117" s="2" t="s">
        <v>27</v>
      </c>
      <c r="C117" s="3" t="s">
        <v>42</v>
      </c>
      <c r="D117" s="3" t="s">
        <v>49</v>
      </c>
      <c r="E117" s="2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15636.599999999999</v>
      </c>
      <c r="M117" s="4">
        <v>45231</v>
      </c>
      <c r="N117" s="5">
        <v>11</v>
      </c>
      <c r="O117" s="3" t="s">
        <v>44</v>
      </c>
      <c r="P117" s="6" t="s">
        <v>40</v>
      </c>
      <c r="Q117" s="14">
        <f t="shared" si="3"/>
        <v>45231</v>
      </c>
      <c r="R117" s="15">
        <f t="shared" si="4"/>
        <v>0.74489795918367341</v>
      </c>
      <c r="S117" s="16">
        <f t="shared" si="5"/>
        <v>0.02</v>
      </c>
    </row>
    <row r="118" spans="1:19">
      <c r="A118" s="1" t="s">
        <v>36</v>
      </c>
      <c r="B118" s="2" t="s">
        <v>20</v>
      </c>
      <c r="C118" s="3" t="s">
        <v>42</v>
      </c>
      <c r="D118" s="3" t="s">
        <v>49</v>
      </c>
      <c r="E118" s="2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4">
        <v>45627</v>
      </c>
      <c r="N118" s="5">
        <v>12</v>
      </c>
      <c r="O118" s="3" t="s">
        <v>30</v>
      </c>
      <c r="P118" s="6" t="s">
        <v>24</v>
      </c>
      <c r="Q118" s="14">
        <f t="shared" si="3"/>
        <v>45627</v>
      </c>
      <c r="R118" s="15">
        <f t="shared" si="4"/>
        <v>0.14965986394557823</v>
      </c>
      <c r="S118" s="16">
        <f t="shared" si="5"/>
        <v>0.02</v>
      </c>
    </row>
    <row r="119" spans="1:19">
      <c r="A119" s="1" t="s">
        <v>19</v>
      </c>
      <c r="B119" s="2" t="s">
        <v>20</v>
      </c>
      <c r="C119" s="3" t="s">
        <v>42</v>
      </c>
      <c r="D119" s="3" t="s">
        <v>49</v>
      </c>
      <c r="E119" s="2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4">
        <v>45627</v>
      </c>
      <c r="N119" s="5">
        <v>12</v>
      </c>
      <c r="O119" s="3" t="s">
        <v>30</v>
      </c>
      <c r="P119" s="6" t="s">
        <v>24</v>
      </c>
      <c r="Q119" s="14">
        <f t="shared" si="3"/>
        <v>45627</v>
      </c>
      <c r="R119" s="15">
        <f t="shared" si="4"/>
        <v>0.24198250728862974</v>
      </c>
      <c r="S119" s="16">
        <f t="shared" si="5"/>
        <v>0.02</v>
      </c>
    </row>
    <row r="120" spans="1:19">
      <c r="A120" s="1" t="s">
        <v>34</v>
      </c>
      <c r="B120" s="2" t="s">
        <v>20</v>
      </c>
      <c r="C120" s="3" t="s">
        <v>42</v>
      </c>
      <c r="D120" s="3" t="s">
        <v>49</v>
      </c>
      <c r="E120" s="2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4">
        <v>45627</v>
      </c>
      <c r="N120" s="5">
        <v>12</v>
      </c>
      <c r="O120" s="3" t="s">
        <v>30</v>
      </c>
      <c r="P120" s="6" t="s">
        <v>24</v>
      </c>
      <c r="Q120" s="14">
        <f t="shared" si="3"/>
        <v>45627</v>
      </c>
      <c r="R120" s="15">
        <f t="shared" si="4"/>
        <v>2.0408163265306121E-2</v>
      </c>
      <c r="S120" s="16">
        <f t="shared" si="5"/>
        <v>0.02</v>
      </c>
    </row>
    <row r="121" spans="1:19">
      <c r="A121" s="1" t="s">
        <v>26</v>
      </c>
      <c r="B121" s="2" t="s">
        <v>41</v>
      </c>
      <c r="C121" s="3" t="s">
        <v>42</v>
      </c>
      <c r="D121" s="3" t="s">
        <v>49</v>
      </c>
      <c r="E121" s="2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4">
        <v>45261</v>
      </c>
      <c r="N121" s="5">
        <v>12</v>
      </c>
      <c r="O121" s="3" t="s">
        <v>30</v>
      </c>
      <c r="P121" s="6" t="s">
        <v>40</v>
      </c>
      <c r="Q121" s="14">
        <f t="shared" si="3"/>
        <v>45261</v>
      </c>
      <c r="R121" s="15">
        <f t="shared" si="4"/>
        <v>0.31972789115646261</v>
      </c>
      <c r="S121" s="16">
        <f t="shared" si="5"/>
        <v>0.02</v>
      </c>
    </row>
    <row r="122" spans="1:19">
      <c r="A122" s="1" t="s">
        <v>19</v>
      </c>
      <c r="B122" s="2" t="s">
        <v>41</v>
      </c>
      <c r="C122" s="3" t="s">
        <v>42</v>
      </c>
      <c r="D122" s="3" t="s">
        <v>49</v>
      </c>
      <c r="E122" s="2">
        <v>2023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3744.1800000000003</v>
      </c>
      <c r="M122" s="4">
        <v>45261</v>
      </c>
      <c r="N122" s="5">
        <v>12</v>
      </c>
      <c r="O122" s="3" t="s">
        <v>30</v>
      </c>
      <c r="P122" s="6" t="s">
        <v>40</v>
      </c>
      <c r="Q122" s="14">
        <f t="shared" si="3"/>
        <v>45261</v>
      </c>
      <c r="R122" s="15">
        <f t="shared" si="4"/>
        <v>0.27113702623906705</v>
      </c>
      <c r="S122" s="16">
        <f t="shared" si="5"/>
        <v>0.02</v>
      </c>
    </row>
    <row r="123" spans="1:19">
      <c r="A123" s="1" t="s">
        <v>33</v>
      </c>
      <c r="B123" s="2" t="s">
        <v>27</v>
      </c>
      <c r="C123" s="3" t="s">
        <v>42</v>
      </c>
      <c r="D123" s="3" t="s">
        <v>49</v>
      </c>
      <c r="E123" s="2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4">
        <v>45627</v>
      </c>
      <c r="N123" s="5">
        <v>12</v>
      </c>
      <c r="O123" s="3" t="s">
        <v>30</v>
      </c>
      <c r="P123" s="6" t="s">
        <v>24</v>
      </c>
      <c r="Q123" s="14">
        <f t="shared" si="3"/>
        <v>45627</v>
      </c>
      <c r="R123" s="15">
        <f t="shared" si="4"/>
        <v>0.74489795918367341</v>
      </c>
      <c r="S123" s="16">
        <f t="shared" si="5"/>
        <v>0.02</v>
      </c>
    </row>
    <row r="124" spans="1:19">
      <c r="A124" s="1" t="s">
        <v>33</v>
      </c>
      <c r="B124" s="2" t="s">
        <v>29</v>
      </c>
      <c r="C124" s="3" t="s">
        <v>42</v>
      </c>
      <c r="D124" s="3" t="s">
        <v>49</v>
      </c>
      <c r="E124" s="2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4">
        <v>45627</v>
      </c>
      <c r="N124" s="5">
        <v>12</v>
      </c>
      <c r="O124" s="3" t="s">
        <v>30</v>
      </c>
      <c r="P124" s="6" t="s">
        <v>24</v>
      </c>
      <c r="Q124" s="14">
        <f t="shared" si="3"/>
        <v>45627</v>
      </c>
      <c r="R124" s="15">
        <f t="shared" si="4"/>
        <v>0.74489795918367352</v>
      </c>
      <c r="S124" s="16">
        <f t="shared" si="5"/>
        <v>0.02</v>
      </c>
    </row>
    <row r="125" spans="1:19">
      <c r="A125" s="1" t="s">
        <v>19</v>
      </c>
      <c r="B125" s="2" t="s">
        <v>41</v>
      </c>
      <c r="C125" s="3" t="s">
        <v>45</v>
      </c>
      <c r="D125" s="3" t="s">
        <v>49</v>
      </c>
      <c r="E125" s="2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15033.599999999999</v>
      </c>
      <c r="M125" s="4">
        <v>45566</v>
      </c>
      <c r="N125" s="5">
        <v>10</v>
      </c>
      <c r="O125" s="3" t="s">
        <v>39</v>
      </c>
      <c r="P125" s="6" t="s">
        <v>24</v>
      </c>
      <c r="Q125" s="14">
        <f t="shared" si="3"/>
        <v>45566</v>
      </c>
      <c r="R125" s="15">
        <f t="shared" si="4"/>
        <v>0.48979591836734693</v>
      </c>
      <c r="S125" s="16">
        <f t="shared" si="5"/>
        <v>0.02</v>
      </c>
    </row>
    <row r="126" spans="1:19">
      <c r="A126" s="1" t="s">
        <v>19</v>
      </c>
      <c r="B126" s="2" t="s">
        <v>25</v>
      </c>
      <c r="C126" s="3" t="s">
        <v>45</v>
      </c>
      <c r="D126" s="3" t="s">
        <v>49</v>
      </c>
      <c r="E126" s="2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4">
        <v>45200</v>
      </c>
      <c r="N126" s="5">
        <v>10</v>
      </c>
      <c r="O126" s="3" t="s">
        <v>39</v>
      </c>
      <c r="P126" s="6" t="s">
        <v>40</v>
      </c>
      <c r="Q126" s="14">
        <f t="shared" si="3"/>
        <v>45200</v>
      </c>
      <c r="R126" s="15">
        <f t="shared" si="4"/>
        <v>0.24198250728862974</v>
      </c>
      <c r="S126" s="16">
        <f t="shared" si="5"/>
        <v>0.02</v>
      </c>
    </row>
    <row r="127" spans="1:19">
      <c r="A127" s="1" t="s">
        <v>19</v>
      </c>
      <c r="B127" s="2" t="s">
        <v>25</v>
      </c>
      <c r="C127" s="3" t="s">
        <v>45</v>
      </c>
      <c r="D127" s="3" t="s">
        <v>49</v>
      </c>
      <c r="E127" s="2">
        <v>2877</v>
      </c>
      <c r="F127" s="3">
        <v>120</v>
      </c>
      <c r="G127" s="3">
        <v>350</v>
      </c>
      <c r="H127" s="3">
        <v>1006950</v>
      </c>
      <c r="I127" s="3">
        <v>20239</v>
      </c>
      <c r="J127" s="3">
        <v>986811</v>
      </c>
      <c r="K127" s="3">
        <v>748020</v>
      </c>
      <c r="L127" s="3">
        <v>238791</v>
      </c>
      <c r="M127" s="4">
        <v>45566</v>
      </c>
      <c r="N127" s="5">
        <v>10</v>
      </c>
      <c r="O127" s="3" t="s">
        <v>39</v>
      </c>
      <c r="P127" s="6" t="s">
        <v>24</v>
      </c>
      <c r="Q127" s="14">
        <f t="shared" si="3"/>
        <v>45566</v>
      </c>
      <c r="R127" s="15">
        <f t="shared" si="4"/>
        <v>0.24198250728862974</v>
      </c>
      <c r="S127" s="16">
        <f t="shared" si="5"/>
        <v>2.0099309796911467E-2</v>
      </c>
    </row>
    <row r="128" spans="1:19">
      <c r="A128" s="1" t="s">
        <v>34</v>
      </c>
      <c r="B128" s="2" t="s">
        <v>25</v>
      </c>
      <c r="C128" s="3" t="s">
        <v>45</v>
      </c>
      <c r="D128" s="3" t="s">
        <v>49</v>
      </c>
      <c r="E128" s="2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4">
        <v>45200</v>
      </c>
      <c r="N128" s="5">
        <v>10</v>
      </c>
      <c r="O128" s="3" t="s">
        <v>39</v>
      </c>
      <c r="P128" s="6" t="s">
        <v>40</v>
      </c>
      <c r="Q128" s="14">
        <f t="shared" si="3"/>
        <v>45200</v>
      </c>
      <c r="R128" s="15">
        <f t="shared" si="4"/>
        <v>2.0408163265306121E-2</v>
      </c>
      <c r="S128" s="16">
        <f t="shared" si="5"/>
        <v>0.02</v>
      </c>
    </row>
    <row r="129" spans="1:19">
      <c r="A129" s="1" t="s">
        <v>34</v>
      </c>
      <c r="B129" s="2" t="s">
        <v>29</v>
      </c>
      <c r="C129" s="3" t="s">
        <v>45</v>
      </c>
      <c r="D129" s="3" t="s">
        <v>49</v>
      </c>
      <c r="E129" s="2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4">
        <v>45200</v>
      </c>
      <c r="N129" s="5">
        <v>10</v>
      </c>
      <c r="O129" s="3" t="s">
        <v>39</v>
      </c>
      <c r="P129" s="6" t="s">
        <v>40</v>
      </c>
      <c r="Q129" s="14">
        <f t="shared" si="3"/>
        <v>45200</v>
      </c>
      <c r="R129" s="15">
        <f t="shared" si="4"/>
        <v>2.0408163265306121E-2</v>
      </c>
      <c r="S129" s="16">
        <f t="shared" si="5"/>
        <v>0.02</v>
      </c>
    </row>
    <row r="130" spans="1:19">
      <c r="A130" s="1" t="s">
        <v>33</v>
      </c>
      <c r="B130" s="2" t="s">
        <v>27</v>
      </c>
      <c r="C130" s="3" t="s">
        <v>45</v>
      </c>
      <c r="D130" s="3" t="s">
        <v>49</v>
      </c>
      <c r="E130" s="2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4">
        <v>45627</v>
      </c>
      <c r="N130" s="5">
        <v>12</v>
      </c>
      <c r="O130" s="3" t="s">
        <v>30</v>
      </c>
      <c r="P130" s="6" t="s">
        <v>24</v>
      </c>
      <c r="Q130" s="14">
        <f t="shared" ref="Q130:Q193" si="6">DATE($P130,$N130,1)</f>
        <v>45627</v>
      </c>
      <c r="R130" s="15">
        <f t="shared" ref="R130:R193" si="7">IFERROR($L130/$J130,0)</f>
        <v>0.74489795918367341</v>
      </c>
      <c r="S130" s="16">
        <f t="shared" ref="S130:S193" si="8">IFERROR($I130/$H130,0)</f>
        <v>0.02</v>
      </c>
    </row>
    <row r="131" spans="1:19">
      <c r="A131" s="1" t="s">
        <v>19</v>
      </c>
      <c r="B131" s="2" t="s">
        <v>29</v>
      </c>
      <c r="C131" s="3" t="s">
        <v>45</v>
      </c>
      <c r="D131" s="3" t="s">
        <v>49</v>
      </c>
      <c r="E131" s="2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4">
        <v>45261</v>
      </c>
      <c r="N131" s="5">
        <v>12</v>
      </c>
      <c r="O131" s="3" t="s">
        <v>30</v>
      </c>
      <c r="P131" s="6" t="s">
        <v>40</v>
      </c>
      <c r="Q131" s="14">
        <f t="shared" si="6"/>
        <v>45261</v>
      </c>
      <c r="R131" s="15">
        <f t="shared" si="7"/>
        <v>0.48979591836734693</v>
      </c>
      <c r="S131" s="16">
        <f t="shared" si="8"/>
        <v>0.02</v>
      </c>
    </row>
    <row r="132" spans="1:19">
      <c r="A132" s="1" t="s">
        <v>33</v>
      </c>
      <c r="B132" s="2" t="s">
        <v>29</v>
      </c>
      <c r="C132" s="3" t="s">
        <v>45</v>
      </c>
      <c r="D132" s="3" t="s">
        <v>49</v>
      </c>
      <c r="E132" s="2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4">
        <v>45627</v>
      </c>
      <c r="N132" s="5">
        <v>12</v>
      </c>
      <c r="O132" s="3" t="s">
        <v>30</v>
      </c>
      <c r="P132" s="6" t="s">
        <v>24</v>
      </c>
      <c r="Q132" s="14">
        <f t="shared" si="6"/>
        <v>45627</v>
      </c>
      <c r="R132" s="15">
        <f t="shared" si="7"/>
        <v>0.74489795918367352</v>
      </c>
      <c r="S132" s="16">
        <f t="shared" si="8"/>
        <v>0.02</v>
      </c>
    </row>
    <row r="133" spans="1:19">
      <c r="A133" s="1" t="s">
        <v>34</v>
      </c>
      <c r="B133" s="2" t="s">
        <v>29</v>
      </c>
      <c r="C133" s="3" t="s">
        <v>46</v>
      </c>
      <c r="D133" s="3" t="s">
        <v>49</v>
      </c>
      <c r="E133" s="2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4">
        <v>45444</v>
      </c>
      <c r="N133" s="5">
        <v>6</v>
      </c>
      <c r="O133" s="3" t="s">
        <v>28</v>
      </c>
      <c r="P133" s="6" t="s">
        <v>24</v>
      </c>
      <c r="Q133" s="14">
        <f t="shared" si="6"/>
        <v>45444</v>
      </c>
      <c r="R133" s="15">
        <f t="shared" si="7"/>
        <v>2.0408163265306121E-2</v>
      </c>
      <c r="S133" s="16">
        <f t="shared" si="8"/>
        <v>0.02</v>
      </c>
    </row>
    <row r="134" spans="1:19">
      <c r="A134" s="1" t="s">
        <v>36</v>
      </c>
      <c r="B134" s="2" t="s">
        <v>25</v>
      </c>
      <c r="C134" s="3" t="s">
        <v>46</v>
      </c>
      <c r="D134" s="3" t="s">
        <v>49</v>
      </c>
      <c r="E134" s="2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4">
        <v>45200</v>
      </c>
      <c r="N134" s="5">
        <v>10</v>
      </c>
      <c r="O134" s="3" t="s">
        <v>39</v>
      </c>
      <c r="P134" s="6" t="s">
        <v>40</v>
      </c>
      <c r="Q134" s="14">
        <f t="shared" si="6"/>
        <v>45200</v>
      </c>
      <c r="R134" s="15">
        <f t="shared" si="7"/>
        <v>0.14965986394557823</v>
      </c>
      <c r="S134" s="16">
        <f t="shared" si="8"/>
        <v>0.02</v>
      </c>
    </row>
    <row r="135" spans="1:19">
      <c r="A135" s="1" t="s">
        <v>19</v>
      </c>
      <c r="B135" s="2" t="s">
        <v>25</v>
      </c>
      <c r="C135" s="3" t="s">
        <v>46</v>
      </c>
      <c r="D135" s="3" t="s">
        <v>49</v>
      </c>
      <c r="E135" s="2">
        <v>2877</v>
      </c>
      <c r="F135" s="3">
        <v>250</v>
      </c>
      <c r="G135" s="3">
        <v>350</v>
      </c>
      <c r="H135" s="3">
        <v>1006950</v>
      </c>
      <c r="I135" s="3">
        <v>20239</v>
      </c>
      <c r="J135" s="3">
        <v>986811</v>
      </c>
      <c r="K135" s="3">
        <v>748020</v>
      </c>
      <c r="L135" s="3">
        <v>238791</v>
      </c>
      <c r="M135" s="4">
        <v>45566</v>
      </c>
      <c r="N135" s="5">
        <v>10</v>
      </c>
      <c r="O135" s="3" t="s">
        <v>39</v>
      </c>
      <c r="P135" s="6" t="s">
        <v>24</v>
      </c>
      <c r="Q135" s="14">
        <f t="shared" si="6"/>
        <v>45566</v>
      </c>
      <c r="R135" s="15">
        <f t="shared" si="7"/>
        <v>0.24198250728862974</v>
      </c>
      <c r="S135" s="16">
        <f t="shared" si="8"/>
        <v>2.0099309796911467E-2</v>
      </c>
    </row>
    <row r="136" spans="1:19">
      <c r="A136" s="1" t="s">
        <v>34</v>
      </c>
      <c r="B136" s="2" t="s">
        <v>20</v>
      </c>
      <c r="C136" s="3" t="s">
        <v>46</v>
      </c>
      <c r="D136" s="3" t="s">
        <v>49</v>
      </c>
      <c r="E136" s="2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4">
        <v>45627</v>
      </c>
      <c r="N136" s="5">
        <v>12</v>
      </c>
      <c r="O136" s="3" t="s">
        <v>30</v>
      </c>
      <c r="P136" s="6" t="s">
        <v>24</v>
      </c>
      <c r="Q136" s="14">
        <f t="shared" si="6"/>
        <v>45627</v>
      </c>
      <c r="R136" s="15">
        <f t="shared" si="7"/>
        <v>2.0408163265306121E-2</v>
      </c>
      <c r="S136" s="16">
        <f t="shared" si="8"/>
        <v>0.02</v>
      </c>
    </row>
    <row r="137" spans="1:19">
      <c r="A137" s="1" t="s">
        <v>19</v>
      </c>
      <c r="B137" s="2" t="s">
        <v>41</v>
      </c>
      <c r="C137" s="3" t="s">
        <v>46</v>
      </c>
      <c r="D137" s="3" t="s">
        <v>49</v>
      </c>
      <c r="E137" s="2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4">
        <v>45261</v>
      </c>
      <c r="N137" s="5">
        <v>12</v>
      </c>
      <c r="O137" s="3" t="s">
        <v>30</v>
      </c>
      <c r="P137" s="6" t="s">
        <v>40</v>
      </c>
      <c r="Q137" s="14">
        <f t="shared" si="6"/>
        <v>45261</v>
      </c>
      <c r="R137" s="15">
        <f t="shared" si="7"/>
        <v>0.24198250728862974</v>
      </c>
      <c r="S137" s="16">
        <f t="shared" si="8"/>
        <v>0.02</v>
      </c>
    </row>
    <row r="138" spans="1:19">
      <c r="A138" s="1" t="s">
        <v>19</v>
      </c>
      <c r="B138" s="2" t="s">
        <v>29</v>
      </c>
      <c r="C138" s="3" t="s">
        <v>46</v>
      </c>
      <c r="D138" s="3" t="s">
        <v>49</v>
      </c>
      <c r="E138" s="2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4">
        <v>45261</v>
      </c>
      <c r="N138" s="5">
        <v>12</v>
      </c>
      <c r="O138" s="3" t="s">
        <v>30</v>
      </c>
      <c r="P138" s="6" t="s">
        <v>40</v>
      </c>
      <c r="Q138" s="14">
        <f t="shared" si="6"/>
        <v>45261</v>
      </c>
      <c r="R138" s="15">
        <f t="shared" si="7"/>
        <v>0.24198250728862974</v>
      </c>
      <c r="S138" s="16">
        <f t="shared" si="8"/>
        <v>0.02</v>
      </c>
    </row>
    <row r="139" spans="1:19">
      <c r="A139" s="1" t="s">
        <v>36</v>
      </c>
      <c r="B139" s="2" t="s">
        <v>25</v>
      </c>
      <c r="C139" s="3" t="s">
        <v>48</v>
      </c>
      <c r="D139" s="3" t="s">
        <v>49</v>
      </c>
      <c r="E139" s="2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4">
        <v>45352</v>
      </c>
      <c r="N139" s="5">
        <v>3</v>
      </c>
      <c r="O139" s="3" t="s">
        <v>32</v>
      </c>
      <c r="P139" s="6" t="s">
        <v>24</v>
      </c>
      <c r="Q139" s="14">
        <f t="shared" si="6"/>
        <v>45352</v>
      </c>
      <c r="R139" s="15">
        <f t="shared" si="7"/>
        <v>0.14965986394557823</v>
      </c>
      <c r="S139" s="16">
        <f t="shared" si="8"/>
        <v>0.02</v>
      </c>
    </row>
    <row r="140" spans="1:19">
      <c r="A140" s="1" t="s">
        <v>36</v>
      </c>
      <c r="B140" s="2" t="s">
        <v>29</v>
      </c>
      <c r="C140" s="3" t="s">
        <v>48</v>
      </c>
      <c r="D140" s="3" t="s">
        <v>49</v>
      </c>
      <c r="E140" s="2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4">
        <v>45352</v>
      </c>
      <c r="N140" s="5">
        <v>3</v>
      </c>
      <c r="O140" s="3" t="s">
        <v>32</v>
      </c>
      <c r="P140" s="6" t="s">
        <v>24</v>
      </c>
      <c r="Q140" s="14">
        <f t="shared" si="6"/>
        <v>45352</v>
      </c>
      <c r="R140" s="15">
        <f t="shared" si="7"/>
        <v>0.14965986394557823</v>
      </c>
      <c r="S140" s="16">
        <f t="shared" si="8"/>
        <v>0.02</v>
      </c>
    </row>
    <row r="141" spans="1:19">
      <c r="A141" s="1" t="s">
        <v>34</v>
      </c>
      <c r="B141" s="2" t="s">
        <v>25</v>
      </c>
      <c r="C141" s="3" t="s">
        <v>48</v>
      </c>
      <c r="D141" s="3" t="s">
        <v>49</v>
      </c>
      <c r="E141" s="2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4">
        <v>45413</v>
      </c>
      <c r="N141" s="5">
        <v>5</v>
      </c>
      <c r="O141" s="3" t="s">
        <v>50</v>
      </c>
      <c r="P141" s="6" t="s">
        <v>24</v>
      </c>
      <c r="Q141" s="14">
        <f t="shared" si="6"/>
        <v>45413</v>
      </c>
      <c r="R141" s="15">
        <f t="shared" si="7"/>
        <v>2.0408163265306121E-2</v>
      </c>
      <c r="S141" s="16">
        <f t="shared" si="8"/>
        <v>0.02</v>
      </c>
    </row>
    <row r="142" spans="1:19">
      <c r="A142" s="1" t="s">
        <v>19</v>
      </c>
      <c r="B142" s="2" t="s">
        <v>25</v>
      </c>
      <c r="C142" s="3" t="s">
        <v>48</v>
      </c>
      <c r="D142" s="3" t="s">
        <v>49</v>
      </c>
      <c r="E142" s="2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4">
        <v>45200</v>
      </c>
      <c r="N142" s="5">
        <v>10</v>
      </c>
      <c r="O142" s="3" t="s">
        <v>39</v>
      </c>
      <c r="P142" s="6" t="s">
        <v>40</v>
      </c>
      <c r="Q142" s="14">
        <f t="shared" si="6"/>
        <v>45200</v>
      </c>
      <c r="R142" s="15">
        <f t="shared" si="7"/>
        <v>0.24198250728862974</v>
      </c>
      <c r="S142" s="16">
        <f t="shared" si="8"/>
        <v>0.02</v>
      </c>
    </row>
    <row r="143" spans="1:19">
      <c r="A143" s="1" t="s">
        <v>19</v>
      </c>
      <c r="B143" s="2" t="s">
        <v>41</v>
      </c>
      <c r="C143" s="3" t="s">
        <v>48</v>
      </c>
      <c r="D143" s="3" t="s">
        <v>49</v>
      </c>
      <c r="E143" s="2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11865.599999999999</v>
      </c>
      <c r="M143" s="4">
        <v>45597</v>
      </c>
      <c r="N143" s="5">
        <v>11</v>
      </c>
      <c r="O143" s="3" t="s">
        <v>44</v>
      </c>
      <c r="P143" s="6" t="s">
        <v>24</v>
      </c>
      <c r="Q143" s="14">
        <f t="shared" si="6"/>
        <v>45597</v>
      </c>
      <c r="R143" s="15">
        <f t="shared" si="7"/>
        <v>0.48979591836734693</v>
      </c>
      <c r="S143" s="16">
        <f t="shared" si="8"/>
        <v>0.02</v>
      </c>
    </row>
    <row r="144" spans="1:19">
      <c r="A144" s="1" t="s">
        <v>19</v>
      </c>
      <c r="B144" s="2" t="s">
        <v>27</v>
      </c>
      <c r="C144" s="3" t="s">
        <v>48</v>
      </c>
      <c r="D144" s="3" t="s">
        <v>49</v>
      </c>
      <c r="E144" s="2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9033.5999999999985</v>
      </c>
      <c r="M144" s="4">
        <v>45597</v>
      </c>
      <c r="N144" s="5">
        <v>11</v>
      </c>
      <c r="O144" s="3" t="s">
        <v>44</v>
      </c>
      <c r="P144" s="6" t="s">
        <v>24</v>
      </c>
      <c r="Q144" s="14">
        <f t="shared" si="6"/>
        <v>45597</v>
      </c>
      <c r="R144" s="15">
        <f t="shared" si="7"/>
        <v>0.48979591836734687</v>
      </c>
      <c r="S144" s="16">
        <f t="shared" si="8"/>
        <v>0.02</v>
      </c>
    </row>
    <row r="145" spans="1:19">
      <c r="A145" s="1" t="s">
        <v>36</v>
      </c>
      <c r="B145" s="2" t="s">
        <v>20</v>
      </c>
      <c r="C145" s="3" t="s">
        <v>48</v>
      </c>
      <c r="D145" s="3" t="s">
        <v>49</v>
      </c>
      <c r="E145" s="2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4">
        <v>45627</v>
      </c>
      <c r="N145" s="5">
        <v>12</v>
      </c>
      <c r="O145" s="3" t="s">
        <v>30</v>
      </c>
      <c r="P145" s="6" t="s">
        <v>24</v>
      </c>
      <c r="Q145" s="14">
        <f t="shared" si="6"/>
        <v>45627</v>
      </c>
      <c r="R145" s="15">
        <f t="shared" si="7"/>
        <v>0.14965986394557823</v>
      </c>
      <c r="S145" s="16">
        <f t="shared" si="8"/>
        <v>0.02</v>
      </c>
    </row>
    <row r="146" spans="1:19">
      <c r="A146" s="1" t="s">
        <v>34</v>
      </c>
      <c r="B146" s="2" t="s">
        <v>27</v>
      </c>
      <c r="C146" s="3" t="s">
        <v>21</v>
      </c>
      <c r="D146" s="3" t="s">
        <v>49</v>
      </c>
      <c r="E146" s="2">
        <v>4243.5</v>
      </c>
      <c r="F146" s="3">
        <v>3</v>
      </c>
      <c r="G146" s="3">
        <v>125</v>
      </c>
      <c r="H146" s="3">
        <v>530437.5</v>
      </c>
      <c r="I146" s="3">
        <v>15913.125</v>
      </c>
      <c r="J146" s="3">
        <v>514524.375</v>
      </c>
      <c r="K146" s="3">
        <v>509220</v>
      </c>
      <c r="L146" s="3">
        <v>5304.375</v>
      </c>
      <c r="M146" s="4">
        <v>45383</v>
      </c>
      <c r="N146" s="5">
        <v>4</v>
      </c>
      <c r="O146" s="3" t="s">
        <v>47</v>
      </c>
      <c r="P146" s="6" t="s">
        <v>24</v>
      </c>
      <c r="Q146" s="14">
        <f t="shared" si="6"/>
        <v>45383</v>
      </c>
      <c r="R146" s="15">
        <f t="shared" si="7"/>
        <v>1.0309278350515464E-2</v>
      </c>
      <c r="S146" s="16">
        <f t="shared" si="8"/>
        <v>0.03</v>
      </c>
    </row>
    <row r="147" spans="1:19">
      <c r="A147" s="1" t="s">
        <v>19</v>
      </c>
      <c r="B147" s="2" t="s">
        <v>25</v>
      </c>
      <c r="C147" s="3" t="s">
        <v>21</v>
      </c>
      <c r="D147" s="3" t="s">
        <v>49</v>
      </c>
      <c r="E147" s="2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4">
        <v>45383</v>
      </c>
      <c r="N147" s="5">
        <v>4</v>
      </c>
      <c r="O147" s="3" t="s">
        <v>47</v>
      </c>
      <c r="P147" s="6" t="s">
        <v>24</v>
      </c>
      <c r="Q147" s="14">
        <f t="shared" si="6"/>
        <v>45383</v>
      </c>
      <c r="R147" s="15">
        <f t="shared" si="7"/>
        <v>0.4845360824742268</v>
      </c>
      <c r="S147" s="16">
        <f t="shared" si="8"/>
        <v>0.03</v>
      </c>
    </row>
    <row r="148" spans="1:19">
      <c r="A148" s="1" t="s">
        <v>36</v>
      </c>
      <c r="B148" s="2" t="s">
        <v>25</v>
      </c>
      <c r="C148" s="3" t="s">
        <v>21</v>
      </c>
      <c r="D148" s="3" t="s">
        <v>49</v>
      </c>
      <c r="E148" s="2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4">
        <v>45444</v>
      </c>
      <c r="N148" s="5">
        <v>6</v>
      </c>
      <c r="O148" s="3" t="s">
        <v>28</v>
      </c>
      <c r="P148" s="6" t="s">
        <v>24</v>
      </c>
      <c r="Q148" s="14">
        <f t="shared" si="6"/>
        <v>45444</v>
      </c>
      <c r="R148" s="15">
        <f t="shared" si="7"/>
        <v>0.14089347079037801</v>
      </c>
      <c r="S148" s="16">
        <f t="shared" si="8"/>
        <v>0.03</v>
      </c>
    </row>
    <row r="149" spans="1:19">
      <c r="A149" s="1" t="s">
        <v>33</v>
      </c>
      <c r="B149" s="2" t="s">
        <v>41</v>
      </c>
      <c r="C149" s="3" t="s">
        <v>21</v>
      </c>
      <c r="D149" s="3" t="s">
        <v>49</v>
      </c>
      <c r="E149" s="2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4">
        <v>45536</v>
      </c>
      <c r="N149" s="5">
        <v>9</v>
      </c>
      <c r="O149" s="3" t="s">
        <v>38</v>
      </c>
      <c r="P149" s="6" t="s">
        <v>24</v>
      </c>
      <c r="Q149" s="14">
        <f t="shared" si="6"/>
        <v>45536</v>
      </c>
      <c r="R149" s="15">
        <f t="shared" si="7"/>
        <v>0.74226804123711343</v>
      </c>
      <c r="S149" s="16">
        <f t="shared" si="8"/>
        <v>0.03</v>
      </c>
    </row>
    <row r="150" spans="1:19">
      <c r="A150" s="1" t="s">
        <v>33</v>
      </c>
      <c r="B150" s="2" t="s">
        <v>20</v>
      </c>
      <c r="C150" s="3" t="s">
        <v>21</v>
      </c>
      <c r="D150" s="3" t="s">
        <v>49</v>
      </c>
      <c r="E150" s="2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7845.1200000000008</v>
      </c>
      <c r="M150" s="4">
        <v>45261</v>
      </c>
      <c r="N150" s="5">
        <v>12</v>
      </c>
      <c r="O150" s="3" t="s">
        <v>30</v>
      </c>
      <c r="P150" s="6" t="s">
        <v>40</v>
      </c>
      <c r="Q150" s="14">
        <f t="shared" si="6"/>
        <v>45261</v>
      </c>
      <c r="R150" s="15">
        <f t="shared" si="7"/>
        <v>0.74226804123711343</v>
      </c>
      <c r="S150" s="16">
        <f t="shared" si="8"/>
        <v>0.03</v>
      </c>
    </row>
    <row r="151" spans="1:19">
      <c r="A151" s="1" t="s">
        <v>19</v>
      </c>
      <c r="B151" s="2" t="s">
        <v>25</v>
      </c>
      <c r="C151" s="3" t="s">
        <v>31</v>
      </c>
      <c r="D151" s="3" t="s">
        <v>49</v>
      </c>
      <c r="E151" s="2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3504.8199999999997</v>
      </c>
      <c r="M151" s="4">
        <v>45323</v>
      </c>
      <c r="N151" s="5">
        <v>2</v>
      </c>
      <c r="O151" s="3" t="s">
        <v>43</v>
      </c>
      <c r="P151" s="6" t="s">
        <v>24</v>
      </c>
      <c r="Q151" s="14">
        <f t="shared" si="6"/>
        <v>45323</v>
      </c>
      <c r="R151" s="15">
        <f t="shared" si="7"/>
        <v>0.26362297496318116</v>
      </c>
      <c r="S151" s="16">
        <f t="shared" si="8"/>
        <v>0.03</v>
      </c>
    </row>
    <row r="152" spans="1:19">
      <c r="A152" s="1" t="s">
        <v>33</v>
      </c>
      <c r="B152" s="2" t="s">
        <v>27</v>
      </c>
      <c r="C152" s="3" t="s">
        <v>31</v>
      </c>
      <c r="D152" s="3" t="s">
        <v>49</v>
      </c>
      <c r="E152" s="2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4">
        <v>45444</v>
      </c>
      <c r="N152" s="5">
        <v>6</v>
      </c>
      <c r="O152" s="3" t="s">
        <v>28</v>
      </c>
      <c r="P152" s="6" t="s">
        <v>24</v>
      </c>
      <c r="Q152" s="14">
        <f t="shared" si="6"/>
        <v>45444</v>
      </c>
      <c r="R152" s="15">
        <f t="shared" si="7"/>
        <v>0.74226804123711343</v>
      </c>
      <c r="S152" s="16">
        <f t="shared" si="8"/>
        <v>0.03</v>
      </c>
    </row>
    <row r="153" spans="1:19">
      <c r="A153" s="1" t="s">
        <v>19</v>
      </c>
      <c r="B153" s="2" t="s">
        <v>27</v>
      </c>
      <c r="C153" s="3" t="s">
        <v>31</v>
      </c>
      <c r="D153" s="3" t="s">
        <v>49</v>
      </c>
      <c r="E153" s="2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973.76000000000022</v>
      </c>
      <c r="M153" s="4">
        <v>45536</v>
      </c>
      <c r="N153" s="5">
        <v>9</v>
      </c>
      <c r="O153" s="3" t="s">
        <v>38</v>
      </c>
      <c r="P153" s="6" t="s">
        <v>24</v>
      </c>
      <c r="Q153" s="14">
        <f t="shared" si="6"/>
        <v>45536</v>
      </c>
      <c r="R153" s="15">
        <f t="shared" si="7"/>
        <v>0.26362297496318121</v>
      </c>
      <c r="S153" s="16">
        <f t="shared" si="8"/>
        <v>0.03</v>
      </c>
    </row>
    <row r="154" spans="1:19">
      <c r="A154" s="1" t="s">
        <v>19</v>
      </c>
      <c r="B154" s="2" t="s">
        <v>25</v>
      </c>
      <c r="C154" s="3" t="s">
        <v>31</v>
      </c>
      <c r="D154" s="3" t="s">
        <v>49</v>
      </c>
      <c r="E154" s="2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4">
        <v>45170</v>
      </c>
      <c r="N154" s="5">
        <v>9</v>
      </c>
      <c r="O154" s="3" t="s">
        <v>38</v>
      </c>
      <c r="P154" s="6" t="s">
        <v>40</v>
      </c>
      <c r="Q154" s="14">
        <f t="shared" si="6"/>
        <v>45170</v>
      </c>
      <c r="R154" s="15">
        <f t="shared" si="7"/>
        <v>0.2341678939617084</v>
      </c>
      <c r="S154" s="16">
        <f t="shared" si="8"/>
        <v>0.03</v>
      </c>
    </row>
    <row r="155" spans="1:19">
      <c r="A155" s="1" t="s">
        <v>34</v>
      </c>
      <c r="B155" s="2" t="s">
        <v>27</v>
      </c>
      <c r="C155" s="3" t="s">
        <v>31</v>
      </c>
      <c r="D155" s="3" t="s">
        <v>49</v>
      </c>
      <c r="E155" s="2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4">
        <v>45627</v>
      </c>
      <c r="N155" s="5">
        <v>12</v>
      </c>
      <c r="O155" s="3" t="s">
        <v>30</v>
      </c>
      <c r="P155" s="6" t="s">
        <v>24</v>
      </c>
      <c r="Q155" s="14">
        <f t="shared" si="6"/>
        <v>45627</v>
      </c>
      <c r="R155" s="15">
        <f t="shared" si="7"/>
        <v>1.0309278350515464E-2</v>
      </c>
      <c r="S155" s="16">
        <f t="shared" si="8"/>
        <v>0.03</v>
      </c>
    </row>
    <row r="156" spans="1:19">
      <c r="A156" s="1" t="s">
        <v>34</v>
      </c>
      <c r="B156" s="2" t="s">
        <v>25</v>
      </c>
      <c r="C156" s="3" t="s">
        <v>31</v>
      </c>
      <c r="D156" s="3" t="s">
        <v>49</v>
      </c>
      <c r="E156" s="2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4">
        <v>45627</v>
      </c>
      <c r="N156" s="5">
        <v>12</v>
      </c>
      <c r="O156" s="3" t="s">
        <v>30</v>
      </c>
      <c r="P156" s="6" t="s">
        <v>24</v>
      </c>
      <c r="Q156" s="14">
        <f t="shared" si="6"/>
        <v>45627</v>
      </c>
      <c r="R156" s="15">
        <f t="shared" si="7"/>
        <v>1.0309278350515464E-2</v>
      </c>
      <c r="S156" s="16">
        <f t="shared" si="8"/>
        <v>0.03</v>
      </c>
    </row>
    <row r="157" spans="1:19">
      <c r="A157" s="1" t="s">
        <v>36</v>
      </c>
      <c r="B157" s="2" t="s">
        <v>27</v>
      </c>
      <c r="C157" s="3" t="s">
        <v>42</v>
      </c>
      <c r="D157" s="3" t="s">
        <v>49</v>
      </c>
      <c r="E157" s="2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4">
        <v>45292</v>
      </c>
      <c r="N157" s="5">
        <v>1</v>
      </c>
      <c r="O157" s="3" t="s">
        <v>23</v>
      </c>
      <c r="P157" s="6" t="s">
        <v>24</v>
      </c>
      <c r="Q157" s="14">
        <f t="shared" si="6"/>
        <v>45292</v>
      </c>
      <c r="R157" s="15">
        <f t="shared" si="7"/>
        <v>0.14089347079037801</v>
      </c>
      <c r="S157" s="16">
        <f t="shared" si="8"/>
        <v>0.03</v>
      </c>
    </row>
    <row r="158" spans="1:19">
      <c r="A158" s="1" t="s">
        <v>34</v>
      </c>
      <c r="B158" s="2" t="s">
        <v>20</v>
      </c>
      <c r="C158" s="3" t="s">
        <v>42</v>
      </c>
      <c r="D158" s="3" t="s">
        <v>49</v>
      </c>
      <c r="E158" s="2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4">
        <v>45352</v>
      </c>
      <c r="N158" s="5">
        <v>3</v>
      </c>
      <c r="O158" s="3" t="s">
        <v>32</v>
      </c>
      <c r="P158" s="6" t="s">
        <v>24</v>
      </c>
      <c r="Q158" s="14">
        <f t="shared" si="6"/>
        <v>45352</v>
      </c>
      <c r="R158" s="15">
        <f t="shared" si="7"/>
        <v>1.0309278350515464E-2</v>
      </c>
      <c r="S158" s="16">
        <f t="shared" si="8"/>
        <v>0.03</v>
      </c>
    </row>
    <row r="159" spans="1:19">
      <c r="A159" s="1" t="s">
        <v>33</v>
      </c>
      <c r="B159" s="2" t="s">
        <v>27</v>
      </c>
      <c r="C159" s="3" t="s">
        <v>42</v>
      </c>
      <c r="D159" s="3" t="s">
        <v>49</v>
      </c>
      <c r="E159" s="2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4">
        <v>45444</v>
      </c>
      <c r="N159" s="5">
        <v>6</v>
      </c>
      <c r="O159" s="3" t="s">
        <v>28</v>
      </c>
      <c r="P159" s="6" t="s">
        <v>24</v>
      </c>
      <c r="Q159" s="14">
        <f t="shared" si="6"/>
        <v>45444</v>
      </c>
      <c r="R159" s="15">
        <f t="shared" si="7"/>
        <v>0.74226804123711343</v>
      </c>
      <c r="S159" s="16">
        <f t="shared" si="8"/>
        <v>0.03</v>
      </c>
    </row>
    <row r="160" spans="1:19">
      <c r="A160" s="1" t="s">
        <v>36</v>
      </c>
      <c r="B160" s="2" t="s">
        <v>25</v>
      </c>
      <c r="C160" s="3" t="s">
        <v>42</v>
      </c>
      <c r="D160" s="3" t="s">
        <v>49</v>
      </c>
      <c r="E160" s="2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4">
        <v>45444</v>
      </c>
      <c r="N160" s="5">
        <v>6</v>
      </c>
      <c r="O160" s="3" t="s">
        <v>28</v>
      </c>
      <c r="P160" s="6" t="s">
        <v>24</v>
      </c>
      <c r="Q160" s="14">
        <f t="shared" si="6"/>
        <v>45444</v>
      </c>
      <c r="R160" s="15">
        <f t="shared" si="7"/>
        <v>0.14089347079037801</v>
      </c>
      <c r="S160" s="16">
        <f t="shared" si="8"/>
        <v>0.03</v>
      </c>
    </row>
    <row r="161" spans="1:19">
      <c r="A161" s="1" t="s">
        <v>34</v>
      </c>
      <c r="B161" s="2" t="s">
        <v>25</v>
      </c>
      <c r="C161" s="3" t="s">
        <v>42</v>
      </c>
      <c r="D161" s="3" t="s">
        <v>49</v>
      </c>
      <c r="E161" s="2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4">
        <v>45444</v>
      </c>
      <c r="N161" s="5">
        <v>6</v>
      </c>
      <c r="O161" s="3" t="s">
        <v>28</v>
      </c>
      <c r="P161" s="6" t="s">
        <v>24</v>
      </c>
      <c r="Q161" s="14">
        <f t="shared" si="6"/>
        <v>45444</v>
      </c>
      <c r="R161" s="15">
        <f t="shared" si="7"/>
        <v>1.0309278350515464E-2</v>
      </c>
      <c r="S161" s="16">
        <f t="shared" si="8"/>
        <v>0.03</v>
      </c>
    </row>
    <row r="162" spans="1:19">
      <c r="A162" s="1" t="s">
        <v>33</v>
      </c>
      <c r="B162" s="2" t="s">
        <v>41</v>
      </c>
      <c r="C162" s="3" t="s">
        <v>42</v>
      </c>
      <c r="D162" s="3" t="s">
        <v>49</v>
      </c>
      <c r="E162" s="2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4">
        <v>45474</v>
      </c>
      <c r="N162" s="5">
        <v>7</v>
      </c>
      <c r="O162" s="3" t="s">
        <v>35</v>
      </c>
      <c r="P162" s="6" t="s">
        <v>24</v>
      </c>
      <c r="Q162" s="14">
        <f t="shared" si="6"/>
        <v>45474</v>
      </c>
      <c r="R162" s="15">
        <f t="shared" si="7"/>
        <v>0.74226804123711343</v>
      </c>
      <c r="S162" s="16">
        <f t="shared" si="8"/>
        <v>0.03</v>
      </c>
    </row>
    <row r="163" spans="1:19">
      <c r="A163" s="1" t="s">
        <v>34</v>
      </c>
      <c r="B163" s="2" t="s">
        <v>20</v>
      </c>
      <c r="C163" s="3" t="s">
        <v>42</v>
      </c>
      <c r="D163" s="3" t="s">
        <v>49</v>
      </c>
      <c r="E163" s="2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4">
        <v>45566</v>
      </c>
      <c r="N163" s="5">
        <v>10</v>
      </c>
      <c r="O163" s="3" t="s">
        <v>39</v>
      </c>
      <c r="P163" s="6" t="s">
        <v>24</v>
      </c>
      <c r="Q163" s="14">
        <f t="shared" si="6"/>
        <v>45566</v>
      </c>
      <c r="R163" s="15">
        <f t="shared" si="7"/>
        <v>1.0309278350515464E-2</v>
      </c>
      <c r="S163" s="16">
        <f t="shared" si="8"/>
        <v>0.03</v>
      </c>
    </row>
    <row r="164" spans="1:19">
      <c r="A164" s="1" t="s">
        <v>26</v>
      </c>
      <c r="B164" s="2" t="s">
        <v>25</v>
      </c>
      <c r="C164" s="3" t="s">
        <v>42</v>
      </c>
      <c r="D164" s="3" t="s">
        <v>49</v>
      </c>
      <c r="E164" s="2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4">
        <v>45200</v>
      </c>
      <c r="N164" s="5">
        <v>10</v>
      </c>
      <c r="O164" s="3" t="s">
        <v>39</v>
      </c>
      <c r="P164" s="6" t="s">
        <v>40</v>
      </c>
      <c r="Q164" s="14">
        <f t="shared" si="6"/>
        <v>45200</v>
      </c>
      <c r="R164" s="15">
        <f t="shared" si="7"/>
        <v>0.3127147766323024</v>
      </c>
      <c r="S164" s="16">
        <f t="shared" si="8"/>
        <v>0.03</v>
      </c>
    </row>
    <row r="165" spans="1:19">
      <c r="A165" s="1" t="s">
        <v>34</v>
      </c>
      <c r="B165" s="2" t="s">
        <v>27</v>
      </c>
      <c r="C165" s="3" t="s">
        <v>42</v>
      </c>
      <c r="D165" s="3" t="s">
        <v>49</v>
      </c>
      <c r="E165" s="2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4">
        <v>45627</v>
      </c>
      <c r="N165" s="5">
        <v>12</v>
      </c>
      <c r="O165" s="3" t="s">
        <v>30</v>
      </c>
      <c r="P165" s="6" t="s">
        <v>24</v>
      </c>
      <c r="Q165" s="14">
        <f t="shared" si="6"/>
        <v>45627</v>
      </c>
      <c r="R165" s="15">
        <f t="shared" si="7"/>
        <v>1.0309278350515464E-2</v>
      </c>
      <c r="S165" s="16">
        <f t="shared" si="8"/>
        <v>0.03</v>
      </c>
    </row>
    <row r="166" spans="1:19">
      <c r="A166" s="1" t="s">
        <v>34</v>
      </c>
      <c r="B166" s="2" t="s">
        <v>25</v>
      </c>
      <c r="C166" s="3" t="s">
        <v>42</v>
      </c>
      <c r="D166" s="3" t="s">
        <v>49</v>
      </c>
      <c r="E166" s="2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4">
        <v>45627</v>
      </c>
      <c r="N166" s="5">
        <v>12</v>
      </c>
      <c r="O166" s="3" t="s">
        <v>30</v>
      </c>
      <c r="P166" s="6" t="s">
        <v>24</v>
      </c>
      <c r="Q166" s="14">
        <f t="shared" si="6"/>
        <v>45627</v>
      </c>
      <c r="R166" s="15">
        <f t="shared" si="7"/>
        <v>1.0309278350515464E-2</v>
      </c>
      <c r="S166" s="16">
        <f t="shared" si="8"/>
        <v>0.03</v>
      </c>
    </row>
    <row r="167" spans="1:19">
      <c r="A167" s="1" t="s">
        <v>34</v>
      </c>
      <c r="B167" s="2" t="s">
        <v>20</v>
      </c>
      <c r="C167" s="3" t="s">
        <v>45</v>
      </c>
      <c r="D167" s="3" t="s">
        <v>49</v>
      </c>
      <c r="E167" s="2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4">
        <v>45566</v>
      </c>
      <c r="N167" s="5">
        <v>10</v>
      </c>
      <c r="O167" s="3" t="s">
        <v>39</v>
      </c>
      <c r="P167" s="6" t="s">
        <v>24</v>
      </c>
      <c r="Q167" s="14">
        <f t="shared" si="6"/>
        <v>45566</v>
      </c>
      <c r="R167" s="15">
        <f t="shared" si="7"/>
        <v>1.0309278350515464E-2</v>
      </c>
      <c r="S167" s="16">
        <f t="shared" si="8"/>
        <v>0.03</v>
      </c>
    </row>
    <row r="168" spans="1:19">
      <c r="A168" s="1" t="s">
        <v>36</v>
      </c>
      <c r="B168" s="2" t="s">
        <v>41</v>
      </c>
      <c r="C168" s="3" t="s">
        <v>46</v>
      </c>
      <c r="D168" s="3" t="s">
        <v>49</v>
      </c>
      <c r="E168" s="2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4">
        <v>45323</v>
      </c>
      <c r="N168" s="5">
        <v>2</v>
      </c>
      <c r="O168" s="3" t="s">
        <v>43</v>
      </c>
      <c r="P168" s="6" t="s">
        <v>24</v>
      </c>
      <c r="Q168" s="14">
        <f t="shared" si="6"/>
        <v>45323</v>
      </c>
      <c r="R168" s="15">
        <f t="shared" si="7"/>
        <v>0.14089347079037801</v>
      </c>
      <c r="S168" s="16">
        <f t="shared" si="8"/>
        <v>0.03</v>
      </c>
    </row>
    <row r="169" spans="1:19">
      <c r="A169" s="1" t="s">
        <v>33</v>
      </c>
      <c r="B169" s="2" t="s">
        <v>29</v>
      </c>
      <c r="C169" s="3" t="s">
        <v>46</v>
      </c>
      <c r="D169" s="3" t="s">
        <v>49</v>
      </c>
      <c r="E169" s="2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4">
        <v>45383</v>
      </c>
      <c r="N169" s="5">
        <v>4</v>
      </c>
      <c r="O169" s="3" t="s">
        <v>47</v>
      </c>
      <c r="P169" s="6" t="s">
        <v>24</v>
      </c>
      <c r="Q169" s="14">
        <f t="shared" si="6"/>
        <v>45383</v>
      </c>
      <c r="R169" s="15">
        <f t="shared" si="7"/>
        <v>0.74226804123711343</v>
      </c>
      <c r="S169" s="16">
        <f t="shared" si="8"/>
        <v>0.03</v>
      </c>
    </row>
    <row r="170" spans="1:19">
      <c r="A170" s="1" t="s">
        <v>34</v>
      </c>
      <c r="B170" s="2" t="s">
        <v>25</v>
      </c>
      <c r="C170" s="3" t="s">
        <v>46</v>
      </c>
      <c r="D170" s="3" t="s">
        <v>49</v>
      </c>
      <c r="E170" s="2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4">
        <v>45444</v>
      </c>
      <c r="N170" s="5">
        <v>6</v>
      </c>
      <c r="O170" s="3" t="s">
        <v>28</v>
      </c>
      <c r="P170" s="6" t="s">
        <v>24</v>
      </c>
      <c r="Q170" s="14">
        <f t="shared" si="6"/>
        <v>45444</v>
      </c>
      <c r="R170" s="15">
        <f t="shared" si="7"/>
        <v>1.0309278350515464E-2</v>
      </c>
      <c r="S170" s="16">
        <f t="shared" si="8"/>
        <v>0.03</v>
      </c>
    </row>
    <row r="171" spans="1:19">
      <c r="A171" s="1" t="s">
        <v>36</v>
      </c>
      <c r="B171" s="2" t="s">
        <v>20</v>
      </c>
      <c r="C171" s="3" t="s">
        <v>46</v>
      </c>
      <c r="D171" s="3" t="s">
        <v>49</v>
      </c>
      <c r="E171" s="2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4">
        <v>45505</v>
      </c>
      <c r="N171" s="5">
        <v>8</v>
      </c>
      <c r="O171" s="3" t="s">
        <v>37</v>
      </c>
      <c r="P171" s="6" t="s">
        <v>24</v>
      </c>
      <c r="Q171" s="14">
        <f t="shared" si="6"/>
        <v>45505</v>
      </c>
      <c r="R171" s="15">
        <f t="shared" si="7"/>
        <v>0.14089347079037801</v>
      </c>
      <c r="S171" s="16">
        <f t="shared" si="8"/>
        <v>0.03</v>
      </c>
    </row>
    <row r="172" spans="1:19">
      <c r="A172" s="1" t="s">
        <v>19</v>
      </c>
      <c r="B172" s="2" t="s">
        <v>29</v>
      </c>
      <c r="C172" s="3" t="s">
        <v>46</v>
      </c>
      <c r="D172" s="3" t="s">
        <v>49</v>
      </c>
      <c r="E172" s="2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4">
        <v>45505</v>
      </c>
      <c r="N172" s="5">
        <v>8</v>
      </c>
      <c r="O172" s="3" t="s">
        <v>37</v>
      </c>
      <c r="P172" s="6" t="s">
        <v>24</v>
      </c>
      <c r="Q172" s="14">
        <f t="shared" si="6"/>
        <v>45505</v>
      </c>
      <c r="R172" s="15">
        <f t="shared" si="7"/>
        <v>0.2341678939617084</v>
      </c>
      <c r="S172" s="16">
        <f t="shared" si="8"/>
        <v>0.03</v>
      </c>
    </row>
    <row r="173" spans="1:19">
      <c r="A173" s="1" t="s">
        <v>26</v>
      </c>
      <c r="B173" s="2" t="s">
        <v>25</v>
      </c>
      <c r="C173" s="3" t="s">
        <v>46</v>
      </c>
      <c r="D173" s="3" t="s">
        <v>49</v>
      </c>
      <c r="E173" s="2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4">
        <v>45200</v>
      </c>
      <c r="N173" s="5">
        <v>10</v>
      </c>
      <c r="O173" s="3" t="s">
        <v>39</v>
      </c>
      <c r="P173" s="6" t="s">
        <v>40</v>
      </c>
      <c r="Q173" s="14">
        <f t="shared" si="6"/>
        <v>45200</v>
      </c>
      <c r="R173" s="15">
        <f t="shared" si="7"/>
        <v>0.3127147766323024</v>
      </c>
      <c r="S173" s="16">
        <f t="shared" si="8"/>
        <v>0.03</v>
      </c>
    </row>
    <row r="174" spans="1:19">
      <c r="A174" s="1" t="s">
        <v>19</v>
      </c>
      <c r="B174" s="2" t="s">
        <v>20</v>
      </c>
      <c r="C174" s="3" t="s">
        <v>21</v>
      </c>
      <c r="D174" s="3" t="s">
        <v>49</v>
      </c>
      <c r="E174" s="2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4">
        <v>45413</v>
      </c>
      <c r="N174" s="5">
        <v>5</v>
      </c>
      <c r="O174" s="3" t="s">
        <v>50</v>
      </c>
      <c r="P174" s="6" t="s">
        <v>24</v>
      </c>
      <c r="Q174" s="14">
        <f t="shared" si="6"/>
        <v>45413</v>
      </c>
      <c r="R174" s="15">
        <f t="shared" si="7"/>
        <v>0.4845360824742268</v>
      </c>
      <c r="S174" s="16">
        <f t="shared" si="8"/>
        <v>3.0000000000000002E-2</v>
      </c>
    </row>
    <row r="175" spans="1:19">
      <c r="A175" s="1" t="s">
        <v>19</v>
      </c>
      <c r="B175" s="2" t="s">
        <v>29</v>
      </c>
      <c r="C175" s="3" t="s">
        <v>42</v>
      </c>
      <c r="D175" s="3" t="s">
        <v>49</v>
      </c>
      <c r="E175" s="2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3150.3999999999996</v>
      </c>
      <c r="M175" s="4">
        <v>45170</v>
      </c>
      <c r="N175" s="5">
        <v>9</v>
      </c>
      <c r="O175" s="3" t="s">
        <v>38</v>
      </c>
      <c r="P175" s="6" t="s">
        <v>40</v>
      </c>
      <c r="Q175" s="14">
        <f t="shared" si="6"/>
        <v>45170</v>
      </c>
      <c r="R175" s="15">
        <f t="shared" si="7"/>
        <v>0.2636229749631811</v>
      </c>
      <c r="S175" s="16">
        <f t="shared" si="8"/>
        <v>3.0000000000000002E-2</v>
      </c>
    </row>
    <row r="176" spans="1:19">
      <c r="A176" s="1" t="s">
        <v>19</v>
      </c>
      <c r="B176" s="2" t="s">
        <v>20</v>
      </c>
      <c r="C176" s="3" t="s">
        <v>45</v>
      </c>
      <c r="D176" s="3" t="s">
        <v>49</v>
      </c>
      <c r="E176" s="2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74699.700000000012</v>
      </c>
      <c r="K176" s="3">
        <v>38505</v>
      </c>
      <c r="L176" s="3">
        <v>36194.700000000004</v>
      </c>
      <c r="M176" s="4">
        <v>45383</v>
      </c>
      <c r="N176" s="5">
        <v>4</v>
      </c>
      <c r="O176" s="3" t="s">
        <v>47</v>
      </c>
      <c r="P176" s="6" t="s">
        <v>24</v>
      </c>
      <c r="Q176" s="14">
        <f t="shared" si="6"/>
        <v>45383</v>
      </c>
      <c r="R176" s="15">
        <f t="shared" si="7"/>
        <v>0.4845360824742268</v>
      </c>
      <c r="S176" s="16">
        <f t="shared" si="8"/>
        <v>3.0000000000000002E-2</v>
      </c>
    </row>
    <row r="177" spans="1:19">
      <c r="A177" s="1" t="s">
        <v>33</v>
      </c>
      <c r="B177" s="2" t="s">
        <v>25</v>
      </c>
      <c r="C177" s="3" t="s">
        <v>46</v>
      </c>
      <c r="D177" s="3" t="s">
        <v>49</v>
      </c>
      <c r="E177" s="2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4">
        <v>45292</v>
      </c>
      <c r="N177" s="5">
        <v>1</v>
      </c>
      <c r="O177" s="3" t="s">
        <v>23</v>
      </c>
      <c r="P177" s="6" t="s">
        <v>24</v>
      </c>
      <c r="Q177" s="14">
        <f t="shared" si="6"/>
        <v>45292</v>
      </c>
      <c r="R177" s="15">
        <f t="shared" si="7"/>
        <v>0.74226804123711343</v>
      </c>
      <c r="S177" s="16">
        <f t="shared" si="8"/>
        <v>3.0000000000000002E-2</v>
      </c>
    </row>
    <row r="178" spans="1:19">
      <c r="A178" s="1" t="s">
        <v>26</v>
      </c>
      <c r="B178" s="2" t="s">
        <v>29</v>
      </c>
      <c r="C178" s="3" t="s">
        <v>31</v>
      </c>
      <c r="D178" s="3" t="s">
        <v>49</v>
      </c>
      <c r="E178" s="2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8936.4000000000015</v>
      </c>
      <c r="M178" s="4">
        <v>45566</v>
      </c>
      <c r="N178" s="5">
        <v>10</v>
      </c>
      <c r="O178" s="3" t="s">
        <v>39</v>
      </c>
      <c r="P178" s="6" t="s">
        <v>24</v>
      </c>
      <c r="Q178" s="14">
        <f t="shared" si="6"/>
        <v>45566</v>
      </c>
      <c r="R178" s="15">
        <f t="shared" si="7"/>
        <v>0.30555555555555558</v>
      </c>
      <c r="S178" s="16">
        <f t="shared" si="8"/>
        <v>3.9999999999999994E-2</v>
      </c>
    </row>
    <row r="179" spans="1:19">
      <c r="A179" s="1" t="s">
        <v>26</v>
      </c>
      <c r="B179" s="2" t="s">
        <v>29</v>
      </c>
      <c r="C179" s="3" t="s">
        <v>42</v>
      </c>
      <c r="D179" s="3" t="s">
        <v>49</v>
      </c>
      <c r="E179" s="2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8936.4000000000015</v>
      </c>
      <c r="M179" s="4">
        <v>45566</v>
      </c>
      <c r="N179" s="5">
        <v>10</v>
      </c>
      <c r="O179" s="3" t="s">
        <v>39</v>
      </c>
      <c r="P179" s="6" t="s">
        <v>24</v>
      </c>
      <c r="Q179" s="14">
        <f t="shared" si="6"/>
        <v>45566</v>
      </c>
      <c r="R179" s="15">
        <f t="shared" si="7"/>
        <v>0.30555555555555558</v>
      </c>
      <c r="S179" s="16">
        <f t="shared" si="8"/>
        <v>3.9999999999999994E-2</v>
      </c>
    </row>
    <row r="180" spans="1:19">
      <c r="A180" s="1" t="s">
        <v>26</v>
      </c>
      <c r="B180" s="2" t="s">
        <v>27</v>
      </c>
      <c r="C180" s="3" t="s">
        <v>42</v>
      </c>
      <c r="D180" s="3" t="s">
        <v>49</v>
      </c>
      <c r="E180" s="2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9948.4000000000015</v>
      </c>
      <c r="M180" s="4">
        <v>45261</v>
      </c>
      <c r="N180" s="5">
        <v>12</v>
      </c>
      <c r="O180" s="3" t="s">
        <v>30</v>
      </c>
      <c r="P180" s="6" t="s">
        <v>40</v>
      </c>
      <c r="Q180" s="14">
        <f t="shared" si="6"/>
        <v>45261</v>
      </c>
      <c r="R180" s="15">
        <f t="shared" si="7"/>
        <v>0.30555555555555558</v>
      </c>
      <c r="S180" s="16">
        <f t="shared" si="8"/>
        <v>3.9999999999999994E-2</v>
      </c>
    </row>
    <row r="181" spans="1:19">
      <c r="A181" s="1" t="s">
        <v>19</v>
      </c>
      <c r="B181" s="2" t="s">
        <v>41</v>
      </c>
      <c r="C181" s="3" t="s">
        <v>45</v>
      </c>
      <c r="D181" s="3" t="s">
        <v>49</v>
      </c>
      <c r="E181" s="2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6771.2000000000007</v>
      </c>
      <c r="M181" s="4">
        <v>45170</v>
      </c>
      <c r="N181" s="5">
        <v>9</v>
      </c>
      <c r="O181" s="3" t="s">
        <v>38</v>
      </c>
      <c r="P181" s="6" t="s">
        <v>40</v>
      </c>
      <c r="Q181" s="14">
        <f t="shared" si="6"/>
        <v>45170</v>
      </c>
      <c r="R181" s="15">
        <f t="shared" si="7"/>
        <v>0.47916666666666669</v>
      </c>
      <c r="S181" s="16">
        <f t="shared" si="8"/>
        <v>3.9999999999999994E-2</v>
      </c>
    </row>
    <row r="182" spans="1:19">
      <c r="A182" s="1" t="s">
        <v>19</v>
      </c>
      <c r="B182" s="2" t="s">
        <v>20</v>
      </c>
      <c r="C182" s="3" t="s">
        <v>21</v>
      </c>
      <c r="D182" s="3" t="s">
        <v>49</v>
      </c>
      <c r="E182" s="2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4903.7200000000012</v>
      </c>
      <c r="M182" s="4">
        <v>45200</v>
      </c>
      <c r="N182" s="5">
        <v>10</v>
      </c>
      <c r="O182" s="3" t="s">
        <v>39</v>
      </c>
      <c r="P182" s="6" t="s">
        <v>40</v>
      </c>
      <c r="Q182" s="14">
        <f t="shared" si="6"/>
        <v>45200</v>
      </c>
      <c r="R182" s="15">
        <f t="shared" si="7"/>
        <v>0.25595238095238099</v>
      </c>
      <c r="S182" s="16">
        <f t="shared" si="8"/>
        <v>0.04</v>
      </c>
    </row>
    <row r="183" spans="1:19">
      <c r="A183" s="1" t="s">
        <v>36</v>
      </c>
      <c r="B183" s="2" t="s">
        <v>25</v>
      </c>
      <c r="C183" s="3" t="s">
        <v>21</v>
      </c>
      <c r="D183" s="3" t="s">
        <v>49</v>
      </c>
      <c r="E183" s="2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4">
        <v>45566</v>
      </c>
      <c r="N183" s="5">
        <v>10</v>
      </c>
      <c r="O183" s="3" t="s">
        <v>39</v>
      </c>
      <c r="P183" s="6" t="s">
        <v>24</v>
      </c>
      <c r="Q183" s="14">
        <f t="shared" si="6"/>
        <v>45566</v>
      </c>
      <c r="R183" s="15">
        <f t="shared" si="7"/>
        <v>0.13194444444444445</v>
      </c>
      <c r="S183" s="16">
        <f t="shared" si="8"/>
        <v>0.04</v>
      </c>
    </row>
    <row r="184" spans="1:19">
      <c r="A184" s="1" t="s">
        <v>19</v>
      </c>
      <c r="B184" s="2" t="s">
        <v>41</v>
      </c>
      <c r="C184" s="3" t="s">
        <v>21</v>
      </c>
      <c r="D184" s="3" t="s">
        <v>49</v>
      </c>
      <c r="E184" s="2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4">
        <v>45627</v>
      </c>
      <c r="N184" s="5">
        <v>12</v>
      </c>
      <c r="O184" s="3" t="s">
        <v>30</v>
      </c>
      <c r="P184" s="6" t="s">
        <v>24</v>
      </c>
      <c r="Q184" s="14">
        <f t="shared" si="6"/>
        <v>45627</v>
      </c>
      <c r="R184" s="15">
        <f t="shared" si="7"/>
        <v>0.22619047619047619</v>
      </c>
      <c r="S184" s="16">
        <f t="shared" si="8"/>
        <v>0.04</v>
      </c>
    </row>
    <row r="185" spans="1:19">
      <c r="A185" s="1" t="s">
        <v>26</v>
      </c>
      <c r="B185" s="2" t="s">
        <v>20</v>
      </c>
      <c r="C185" s="3" t="s">
        <v>31</v>
      </c>
      <c r="D185" s="3" t="s">
        <v>49</v>
      </c>
      <c r="E185" s="2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4">
        <v>45352</v>
      </c>
      <c r="N185" s="5">
        <v>3</v>
      </c>
      <c r="O185" s="3" t="s">
        <v>32</v>
      </c>
      <c r="P185" s="6" t="s">
        <v>24</v>
      </c>
      <c r="Q185" s="14">
        <f t="shared" si="6"/>
        <v>45352</v>
      </c>
      <c r="R185" s="15">
        <f t="shared" si="7"/>
        <v>0.30555555555555552</v>
      </c>
      <c r="S185" s="16">
        <f t="shared" si="8"/>
        <v>0.04</v>
      </c>
    </row>
    <row r="186" spans="1:19">
      <c r="A186" s="1" t="s">
        <v>36</v>
      </c>
      <c r="B186" s="2" t="s">
        <v>25</v>
      </c>
      <c r="C186" s="3" t="s">
        <v>31</v>
      </c>
      <c r="D186" s="3" t="s">
        <v>49</v>
      </c>
      <c r="E186" s="2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4">
        <v>45505</v>
      </c>
      <c r="N186" s="5">
        <v>8</v>
      </c>
      <c r="O186" s="3" t="s">
        <v>37</v>
      </c>
      <c r="P186" s="6" t="s">
        <v>24</v>
      </c>
      <c r="Q186" s="14">
        <f t="shared" si="6"/>
        <v>45505</v>
      </c>
      <c r="R186" s="15">
        <f t="shared" si="7"/>
        <v>0.13194444444444445</v>
      </c>
      <c r="S186" s="16">
        <f t="shared" si="8"/>
        <v>0.04</v>
      </c>
    </row>
    <row r="187" spans="1:19">
      <c r="A187" s="1" t="s">
        <v>19</v>
      </c>
      <c r="B187" s="2" t="s">
        <v>20</v>
      </c>
      <c r="C187" s="3" t="s">
        <v>31</v>
      </c>
      <c r="D187" s="3" t="s">
        <v>49</v>
      </c>
      <c r="E187" s="2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4903.7200000000012</v>
      </c>
      <c r="M187" s="4">
        <v>45200</v>
      </c>
      <c r="N187" s="5">
        <v>10</v>
      </c>
      <c r="O187" s="3" t="s">
        <v>39</v>
      </c>
      <c r="P187" s="6" t="s">
        <v>40</v>
      </c>
      <c r="Q187" s="14">
        <f t="shared" si="6"/>
        <v>45200</v>
      </c>
      <c r="R187" s="15">
        <f t="shared" si="7"/>
        <v>0.25595238095238099</v>
      </c>
      <c r="S187" s="16">
        <f t="shared" si="8"/>
        <v>0.04</v>
      </c>
    </row>
    <row r="188" spans="1:19">
      <c r="A188" s="1" t="s">
        <v>36</v>
      </c>
      <c r="B188" s="2" t="s">
        <v>25</v>
      </c>
      <c r="C188" s="3" t="s">
        <v>31</v>
      </c>
      <c r="D188" s="3" t="s">
        <v>49</v>
      </c>
      <c r="E188" s="2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4">
        <v>45566</v>
      </c>
      <c r="N188" s="5">
        <v>10</v>
      </c>
      <c r="O188" s="3" t="s">
        <v>39</v>
      </c>
      <c r="P188" s="6" t="s">
        <v>24</v>
      </c>
      <c r="Q188" s="14">
        <f t="shared" si="6"/>
        <v>45566</v>
      </c>
      <c r="R188" s="15">
        <f t="shared" si="7"/>
        <v>0.13194444444444445</v>
      </c>
      <c r="S188" s="16">
        <f t="shared" si="8"/>
        <v>0.04</v>
      </c>
    </row>
    <row r="189" spans="1:19">
      <c r="A189" s="1" t="s">
        <v>34</v>
      </c>
      <c r="B189" s="2" t="s">
        <v>29</v>
      </c>
      <c r="C189" s="3" t="s">
        <v>31</v>
      </c>
      <c r="D189" s="3" t="s">
        <v>49</v>
      </c>
      <c r="E189" s="2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4">
        <v>45627</v>
      </c>
      <c r="N189" s="5">
        <v>12</v>
      </c>
      <c r="O189" s="3" t="s">
        <v>30</v>
      </c>
      <c r="P189" s="6" t="s">
        <v>24</v>
      </c>
      <c r="Q189" s="14">
        <f t="shared" si="6"/>
        <v>45627</v>
      </c>
      <c r="R189" s="15">
        <f t="shared" si="7"/>
        <v>0</v>
      </c>
      <c r="S189" s="16">
        <f t="shared" si="8"/>
        <v>0.04</v>
      </c>
    </row>
    <row r="190" spans="1:19">
      <c r="A190" s="1" t="s">
        <v>19</v>
      </c>
      <c r="B190" s="2" t="s">
        <v>20</v>
      </c>
      <c r="C190" s="3" t="s">
        <v>42</v>
      </c>
      <c r="D190" s="3" t="s">
        <v>49</v>
      </c>
      <c r="E190" s="2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7311.7199999999993</v>
      </c>
      <c r="M190" s="4">
        <v>45292</v>
      </c>
      <c r="N190" s="5">
        <v>1</v>
      </c>
      <c r="O190" s="3" t="s">
        <v>23</v>
      </c>
      <c r="P190" s="6" t="s">
        <v>24</v>
      </c>
      <c r="Q190" s="14">
        <f t="shared" si="6"/>
        <v>45292</v>
      </c>
      <c r="R190" s="15">
        <f t="shared" si="7"/>
        <v>0.25595238095238093</v>
      </c>
      <c r="S190" s="16">
        <f t="shared" si="8"/>
        <v>0.04</v>
      </c>
    </row>
    <row r="191" spans="1:19">
      <c r="A191" s="1" t="s">
        <v>34</v>
      </c>
      <c r="B191" s="2" t="s">
        <v>25</v>
      </c>
      <c r="C191" s="3" t="s">
        <v>42</v>
      </c>
      <c r="D191" s="3" t="s">
        <v>49</v>
      </c>
      <c r="E191" s="2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4">
        <v>45352</v>
      </c>
      <c r="N191" s="5">
        <v>3</v>
      </c>
      <c r="O191" s="3" t="s">
        <v>32</v>
      </c>
      <c r="P191" s="6" t="s">
        <v>24</v>
      </c>
      <c r="Q191" s="14">
        <f t="shared" si="6"/>
        <v>45352</v>
      </c>
      <c r="R191" s="15">
        <f t="shared" si="7"/>
        <v>0</v>
      </c>
      <c r="S191" s="16">
        <f t="shared" si="8"/>
        <v>0.04</v>
      </c>
    </row>
    <row r="192" spans="1:19">
      <c r="A192" s="1" t="s">
        <v>36</v>
      </c>
      <c r="B192" s="2" t="s">
        <v>25</v>
      </c>
      <c r="C192" s="3" t="s">
        <v>42</v>
      </c>
      <c r="D192" s="3" t="s">
        <v>49</v>
      </c>
      <c r="E192" s="2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4">
        <v>45383</v>
      </c>
      <c r="N192" s="5">
        <v>4</v>
      </c>
      <c r="O192" s="3" t="s">
        <v>47</v>
      </c>
      <c r="P192" s="6" t="s">
        <v>24</v>
      </c>
      <c r="Q192" s="14">
        <f t="shared" si="6"/>
        <v>45383</v>
      </c>
      <c r="R192" s="15">
        <f t="shared" si="7"/>
        <v>0.13194444444444445</v>
      </c>
      <c r="S192" s="16">
        <f t="shared" si="8"/>
        <v>0.04</v>
      </c>
    </row>
    <row r="193" spans="1:19">
      <c r="A193" s="1" t="s">
        <v>36</v>
      </c>
      <c r="B193" s="2" t="s">
        <v>41</v>
      </c>
      <c r="C193" s="3" t="s">
        <v>42</v>
      </c>
      <c r="D193" s="3" t="s">
        <v>49</v>
      </c>
      <c r="E193" s="2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4">
        <v>45413</v>
      </c>
      <c r="N193" s="5">
        <v>5</v>
      </c>
      <c r="O193" s="3" t="s">
        <v>50</v>
      </c>
      <c r="P193" s="6" t="s">
        <v>24</v>
      </c>
      <c r="Q193" s="14">
        <f t="shared" si="6"/>
        <v>45413</v>
      </c>
      <c r="R193" s="15">
        <f t="shared" si="7"/>
        <v>0.13194444444444445</v>
      </c>
      <c r="S193" s="16">
        <f t="shared" si="8"/>
        <v>0.04</v>
      </c>
    </row>
    <row r="194" spans="1:19">
      <c r="A194" s="1" t="s">
        <v>19</v>
      </c>
      <c r="B194" s="2" t="s">
        <v>41</v>
      </c>
      <c r="C194" s="3" t="s">
        <v>42</v>
      </c>
      <c r="D194" s="3" t="s">
        <v>49</v>
      </c>
      <c r="E194" s="2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4">
        <v>45474</v>
      </c>
      <c r="N194" s="5">
        <v>7</v>
      </c>
      <c r="O194" s="3" t="s">
        <v>35</v>
      </c>
      <c r="P194" s="6" t="s">
        <v>24</v>
      </c>
      <c r="Q194" s="14">
        <f t="shared" ref="Q194:Q257" si="9">DATE($P194,$N194,1)</f>
        <v>45474</v>
      </c>
      <c r="R194" s="15">
        <f t="shared" ref="R194:R257" si="10">IFERROR($L194/$J194,0)</f>
        <v>0.22619047619047619</v>
      </c>
      <c r="S194" s="16">
        <f t="shared" ref="S194:S257" si="11">IFERROR($I194/$H194,0)</f>
        <v>0.04</v>
      </c>
    </row>
    <row r="195" spans="1:19">
      <c r="A195" s="1" t="s">
        <v>34</v>
      </c>
      <c r="B195" s="2" t="s">
        <v>27</v>
      </c>
      <c r="C195" s="3" t="s">
        <v>42</v>
      </c>
      <c r="D195" s="3" t="s">
        <v>49</v>
      </c>
      <c r="E195" s="2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4">
        <v>45474</v>
      </c>
      <c r="N195" s="5">
        <v>7</v>
      </c>
      <c r="O195" s="3" t="s">
        <v>35</v>
      </c>
      <c r="P195" s="6" t="s">
        <v>24</v>
      </c>
      <c r="Q195" s="14">
        <f t="shared" si="9"/>
        <v>45474</v>
      </c>
      <c r="R195" s="15">
        <f t="shared" si="10"/>
        <v>0</v>
      </c>
      <c r="S195" s="16">
        <f t="shared" si="11"/>
        <v>0.04</v>
      </c>
    </row>
    <row r="196" spans="1:19">
      <c r="A196" s="1" t="s">
        <v>26</v>
      </c>
      <c r="B196" s="2" t="s">
        <v>20</v>
      </c>
      <c r="C196" s="3" t="s">
        <v>42</v>
      </c>
      <c r="D196" s="3" t="s">
        <v>49</v>
      </c>
      <c r="E196" s="2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959.19999999999982</v>
      </c>
      <c r="M196" s="4">
        <v>45536</v>
      </c>
      <c r="N196" s="5">
        <v>9</v>
      </c>
      <c r="O196" s="3" t="s">
        <v>38</v>
      </c>
      <c r="P196" s="6" t="s">
        <v>24</v>
      </c>
      <c r="Q196" s="14">
        <f t="shared" si="9"/>
        <v>45536</v>
      </c>
      <c r="R196" s="15">
        <f t="shared" si="10"/>
        <v>0.30555555555555552</v>
      </c>
      <c r="S196" s="16">
        <f t="shared" si="11"/>
        <v>0.04</v>
      </c>
    </row>
    <row r="197" spans="1:19">
      <c r="A197" s="1" t="s">
        <v>19</v>
      </c>
      <c r="B197" s="2" t="s">
        <v>20</v>
      </c>
      <c r="C197" s="3" t="s">
        <v>42</v>
      </c>
      <c r="D197" s="3" t="s">
        <v>49</v>
      </c>
      <c r="E197" s="2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19080.800000000003</v>
      </c>
      <c r="M197" s="4">
        <v>45536</v>
      </c>
      <c r="N197" s="5">
        <v>9</v>
      </c>
      <c r="O197" s="3" t="s">
        <v>38</v>
      </c>
      <c r="P197" s="6" t="s">
        <v>24</v>
      </c>
      <c r="Q197" s="14">
        <f t="shared" si="9"/>
        <v>45536</v>
      </c>
      <c r="R197" s="15">
        <f t="shared" si="10"/>
        <v>0.47916666666666669</v>
      </c>
      <c r="S197" s="16">
        <f t="shared" si="11"/>
        <v>0.04</v>
      </c>
    </row>
    <row r="198" spans="1:19">
      <c r="A198" s="1" t="s">
        <v>19</v>
      </c>
      <c r="B198" s="2" t="s">
        <v>41</v>
      </c>
      <c r="C198" s="3" t="s">
        <v>42</v>
      </c>
      <c r="D198" s="3" t="s">
        <v>49</v>
      </c>
      <c r="E198" s="2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4">
        <v>45536</v>
      </c>
      <c r="N198" s="5">
        <v>9</v>
      </c>
      <c r="O198" s="3" t="s">
        <v>38</v>
      </c>
      <c r="P198" s="6" t="s">
        <v>24</v>
      </c>
      <c r="Q198" s="14">
        <f t="shared" si="9"/>
        <v>45536</v>
      </c>
      <c r="R198" s="15">
        <f t="shared" si="10"/>
        <v>0.47916666666666669</v>
      </c>
      <c r="S198" s="16">
        <f t="shared" si="11"/>
        <v>0.04</v>
      </c>
    </row>
    <row r="199" spans="1:19">
      <c r="A199" s="1" t="s">
        <v>26</v>
      </c>
      <c r="B199" s="2" t="s">
        <v>41</v>
      </c>
      <c r="C199" s="3" t="s">
        <v>42</v>
      </c>
      <c r="D199" s="3" t="s">
        <v>49</v>
      </c>
      <c r="E199" s="2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2952.3999999999996</v>
      </c>
      <c r="M199" s="4">
        <v>45200</v>
      </c>
      <c r="N199" s="5">
        <v>10</v>
      </c>
      <c r="O199" s="3" t="s">
        <v>39</v>
      </c>
      <c r="P199" s="6" t="s">
        <v>40</v>
      </c>
      <c r="Q199" s="14">
        <f t="shared" si="9"/>
        <v>45200</v>
      </c>
      <c r="R199" s="15">
        <f t="shared" si="10"/>
        <v>0.30555555555555552</v>
      </c>
      <c r="S199" s="16">
        <f t="shared" si="11"/>
        <v>0.04</v>
      </c>
    </row>
    <row r="200" spans="1:19">
      <c r="A200" s="1" t="s">
        <v>26</v>
      </c>
      <c r="B200" s="2" t="s">
        <v>29</v>
      </c>
      <c r="C200" s="3" t="s">
        <v>42</v>
      </c>
      <c r="D200" s="3" t="s">
        <v>49</v>
      </c>
      <c r="E200" s="2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6661.5999999999985</v>
      </c>
      <c r="M200" s="4">
        <v>45200</v>
      </c>
      <c r="N200" s="5">
        <v>10</v>
      </c>
      <c r="O200" s="3" t="s">
        <v>39</v>
      </c>
      <c r="P200" s="6" t="s">
        <v>40</v>
      </c>
      <c r="Q200" s="14">
        <f t="shared" si="9"/>
        <v>45200</v>
      </c>
      <c r="R200" s="15">
        <f t="shared" si="10"/>
        <v>0.30555555555555552</v>
      </c>
      <c r="S200" s="16">
        <f t="shared" si="11"/>
        <v>0.04</v>
      </c>
    </row>
    <row r="201" spans="1:19">
      <c r="A201" s="1" t="s">
        <v>19</v>
      </c>
      <c r="B201" s="2" t="s">
        <v>41</v>
      </c>
      <c r="C201" s="3" t="s">
        <v>42</v>
      </c>
      <c r="D201" s="3" t="s">
        <v>49</v>
      </c>
      <c r="E201" s="2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4">
        <v>45627</v>
      </c>
      <c r="N201" s="5">
        <v>12</v>
      </c>
      <c r="O201" s="3" t="s">
        <v>30</v>
      </c>
      <c r="P201" s="6" t="s">
        <v>24</v>
      </c>
      <c r="Q201" s="14">
        <f t="shared" si="9"/>
        <v>45627</v>
      </c>
      <c r="R201" s="15">
        <f t="shared" si="10"/>
        <v>0.22619047619047619</v>
      </c>
      <c r="S201" s="16">
        <f t="shared" si="11"/>
        <v>0.04</v>
      </c>
    </row>
    <row r="202" spans="1:19">
      <c r="A202" s="1" t="s">
        <v>34</v>
      </c>
      <c r="B202" s="2" t="s">
        <v>29</v>
      </c>
      <c r="C202" s="3" t="s">
        <v>42</v>
      </c>
      <c r="D202" s="3" t="s">
        <v>49</v>
      </c>
      <c r="E202" s="2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4">
        <v>45627</v>
      </c>
      <c r="N202" s="5">
        <v>12</v>
      </c>
      <c r="O202" s="3" t="s">
        <v>30</v>
      </c>
      <c r="P202" s="6" t="s">
        <v>24</v>
      </c>
      <c r="Q202" s="14">
        <f t="shared" si="9"/>
        <v>45627</v>
      </c>
      <c r="R202" s="15">
        <f t="shared" si="10"/>
        <v>0</v>
      </c>
      <c r="S202" s="16">
        <f t="shared" si="11"/>
        <v>0.04</v>
      </c>
    </row>
    <row r="203" spans="1:19">
      <c r="A203" s="1" t="s">
        <v>33</v>
      </c>
      <c r="B203" s="2" t="s">
        <v>41</v>
      </c>
      <c r="C203" s="3" t="s">
        <v>45</v>
      </c>
      <c r="D203" s="3" t="s">
        <v>49</v>
      </c>
      <c r="E203" s="2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4">
        <v>45352</v>
      </c>
      <c r="N203" s="5">
        <v>3</v>
      </c>
      <c r="O203" s="3" t="s">
        <v>32</v>
      </c>
      <c r="P203" s="6" t="s">
        <v>24</v>
      </c>
      <c r="Q203" s="14">
        <f t="shared" si="9"/>
        <v>45352</v>
      </c>
      <c r="R203" s="15">
        <f t="shared" si="10"/>
        <v>0.73958333333333337</v>
      </c>
      <c r="S203" s="16">
        <f t="shared" si="11"/>
        <v>0.04</v>
      </c>
    </row>
    <row r="204" spans="1:19">
      <c r="A204" s="1" t="s">
        <v>19</v>
      </c>
      <c r="B204" s="2" t="s">
        <v>20</v>
      </c>
      <c r="C204" s="3" t="s">
        <v>45</v>
      </c>
      <c r="D204" s="3" t="s">
        <v>49</v>
      </c>
      <c r="E204" s="2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24343.199999999997</v>
      </c>
      <c r="M204" s="4">
        <v>45170</v>
      </c>
      <c r="N204" s="5">
        <v>9</v>
      </c>
      <c r="O204" s="3" t="s">
        <v>38</v>
      </c>
      <c r="P204" s="6" t="s">
        <v>40</v>
      </c>
      <c r="Q204" s="14">
        <f t="shared" si="9"/>
        <v>45170</v>
      </c>
      <c r="R204" s="15">
        <f t="shared" si="10"/>
        <v>0.47916666666666663</v>
      </c>
      <c r="S204" s="16">
        <f t="shared" si="11"/>
        <v>0.04</v>
      </c>
    </row>
    <row r="205" spans="1:19">
      <c r="A205" s="1" t="s">
        <v>19</v>
      </c>
      <c r="B205" s="2" t="s">
        <v>27</v>
      </c>
      <c r="C205" s="3" t="s">
        <v>45</v>
      </c>
      <c r="D205" s="3" t="s">
        <v>49</v>
      </c>
      <c r="E205" s="2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4">
        <v>45566</v>
      </c>
      <c r="N205" s="5">
        <v>10</v>
      </c>
      <c r="O205" s="3" t="s">
        <v>39</v>
      </c>
      <c r="P205" s="6" t="s">
        <v>24</v>
      </c>
      <c r="Q205" s="14">
        <f t="shared" si="9"/>
        <v>45566</v>
      </c>
      <c r="R205" s="15">
        <f t="shared" si="10"/>
        <v>0.22619047619047619</v>
      </c>
      <c r="S205" s="16">
        <f t="shared" si="11"/>
        <v>0.04</v>
      </c>
    </row>
    <row r="206" spans="1:19">
      <c r="A206" s="1" t="s">
        <v>33</v>
      </c>
      <c r="B206" s="2" t="s">
        <v>27</v>
      </c>
      <c r="C206" s="3" t="s">
        <v>46</v>
      </c>
      <c r="D206" s="3" t="s">
        <v>49</v>
      </c>
      <c r="E206" s="2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4">
        <v>45413</v>
      </c>
      <c r="N206" s="5">
        <v>5</v>
      </c>
      <c r="O206" s="3" t="s">
        <v>50</v>
      </c>
      <c r="P206" s="6" t="s">
        <v>24</v>
      </c>
      <c r="Q206" s="14">
        <f t="shared" si="9"/>
        <v>45413</v>
      </c>
      <c r="R206" s="15">
        <f t="shared" si="10"/>
        <v>0.73958333333333337</v>
      </c>
      <c r="S206" s="16">
        <f t="shared" si="11"/>
        <v>0.04</v>
      </c>
    </row>
    <row r="207" spans="1:19">
      <c r="A207" s="1" t="s">
        <v>19</v>
      </c>
      <c r="B207" s="2" t="s">
        <v>41</v>
      </c>
      <c r="C207" s="3" t="s">
        <v>46</v>
      </c>
      <c r="D207" s="3" t="s">
        <v>49</v>
      </c>
      <c r="E207" s="2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4">
        <v>45170</v>
      </c>
      <c r="N207" s="5">
        <v>9</v>
      </c>
      <c r="O207" s="3" t="s">
        <v>38</v>
      </c>
      <c r="P207" s="6" t="s">
        <v>40</v>
      </c>
      <c r="Q207" s="14">
        <f t="shared" si="9"/>
        <v>45170</v>
      </c>
      <c r="R207" s="15">
        <f t="shared" si="10"/>
        <v>0.22619047619047619</v>
      </c>
      <c r="S207" s="16">
        <f t="shared" si="11"/>
        <v>0.04</v>
      </c>
    </row>
    <row r="208" spans="1:19">
      <c r="A208" s="1" t="s">
        <v>19</v>
      </c>
      <c r="B208" s="2" t="s">
        <v>27</v>
      </c>
      <c r="C208" s="3" t="s">
        <v>46</v>
      </c>
      <c r="D208" s="3" t="s">
        <v>49</v>
      </c>
      <c r="E208" s="2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4">
        <v>45566</v>
      </c>
      <c r="N208" s="5">
        <v>10</v>
      </c>
      <c r="O208" s="3" t="s">
        <v>39</v>
      </c>
      <c r="P208" s="6" t="s">
        <v>24</v>
      </c>
      <c r="Q208" s="14">
        <f t="shared" si="9"/>
        <v>45566</v>
      </c>
      <c r="R208" s="15">
        <f t="shared" si="10"/>
        <v>0.22619047619047619</v>
      </c>
      <c r="S208" s="16">
        <f t="shared" si="11"/>
        <v>0.04</v>
      </c>
    </row>
    <row r="209" spans="1:19">
      <c r="A209" s="1" t="s">
        <v>26</v>
      </c>
      <c r="B209" s="2" t="s">
        <v>29</v>
      </c>
      <c r="C209" s="3" t="s">
        <v>46</v>
      </c>
      <c r="D209" s="3" t="s">
        <v>49</v>
      </c>
      <c r="E209" s="2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6661.5999999999985</v>
      </c>
      <c r="M209" s="4">
        <v>45200</v>
      </c>
      <c r="N209" s="5">
        <v>10</v>
      </c>
      <c r="O209" s="3" t="s">
        <v>39</v>
      </c>
      <c r="P209" s="6" t="s">
        <v>40</v>
      </c>
      <c r="Q209" s="14">
        <f t="shared" si="9"/>
        <v>45200</v>
      </c>
      <c r="R209" s="15">
        <f t="shared" si="10"/>
        <v>0.30555555555555552</v>
      </c>
      <c r="S209" s="16">
        <f t="shared" si="11"/>
        <v>0.04</v>
      </c>
    </row>
    <row r="210" spans="1:19">
      <c r="A210" s="1" t="s">
        <v>19</v>
      </c>
      <c r="B210" s="2" t="s">
        <v>29</v>
      </c>
      <c r="C210" s="3" t="s">
        <v>48</v>
      </c>
      <c r="D210" s="3" t="s">
        <v>49</v>
      </c>
      <c r="E210" s="2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4">
        <v>45323</v>
      </c>
      <c r="N210" s="5">
        <v>2</v>
      </c>
      <c r="O210" s="3" t="s">
        <v>43</v>
      </c>
      <c r="P210" s="6" t="s">
        <v>24</v>
      </c>
      <c r="Q210" s="14">
        <f t="shared" si="9"/>
        <v>45323</v>
      </c>
      <c r="R210" s="15">
        <f t="shared" si="10"/>
        <v>0.22619047619047619</v>
      </c>
      <c r="S210" s="16">
        <f t="shared" si="11"/>
        <v>0.04</v>
      </c>
    </row>
    <row r="211" spans="1:19">
      <c r="A211" s="1" t="s">
        <v>34</v>
      </c>
      <c r="B211" s="2" t="s">
        <v>29</v>
      </c>
      <c r="C211" s="3" t="s">
        <v>48</v>
      </c>
      <c r="D211" s="3" t="s">
        <v>49</v>
      </c>
      <c r="E211" s="2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4">
        <v>45383</v>
      </c>
      <c r="N211" s="5">
        <v>4</v>
      </c>
      <c r="O211" s="3" t="s">
        <v>47</v>
      </c>
      <c r="P211" s="6" t="s">
        <v>24</v>
      </c>
      <c r="Q211" s="14">
        <f t="shared" si="9"/>
        <v>45383</v>
      </c>
      <c r="R211" s="15">
        <f t="shared" si="10"/>
        <v>0</v>
      </c>
      <c r="S211" s="16">
        <f t="shared" si="11"/>
        <v>0.04</v>
      </c>
    </row>
    <row r="212" spans="1:19">
      <c r="A212" s="1" t="s">
        <v>19</v>
      </c>
      <c r="B212" s="2" t="s">
        <v>25</v>
      </c>
      <c r="C212" s="3" t="s">
        <v>48</v>
      </c>
      <c r="D212" s="3" t="s">
        <v>49</v>
      </c>
      <c r="E212" s="2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4">
        <v>45536</v>
      </c>
      <c r="N212" s="5">
        <v>9</v>
      </c>
      <c r="O212" s="3" t="s">
        <v>38</v>
      </c>
      <c r="P212" s="6" t="s">
        <v>24</v>
      </c>
      <c r="Q212" s="14">
        <f t="shared" si="9"/>
        <v>45536</v>
      </c>
      <c r="R212" s="15">
        <f t="shared" si="10"/>
        <v>0.22619047619047619</v>
      </c>
      <c r="S212" s="16">
        <f t="shared" si="11"/>
        <v>0.04</v>
      </c>
    </row>
    <row r="213" spans="1:19">
      <c r="A213" s="1" t="s">
        <v>26</v>
      </c>
      <c r="B213" s="2" t="s">
        <v>41</v>
      </c>
      <c r="C213" s="3" t="s">
        <v>48</v>
      </c>
      <c r="D213" s="3" t="s">
        <v>49</v>
      </c>
      <c r="E213" s="2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2952.3999999999996</v>
      </c>
      <c r="M213" s="4">
        <v>45200</v>
      </c>
      <c r="N213" s="5">
        <v>10</v>
      </c>
      <c r="O213" s="3" t="s">
        <v>39</v>
      </c>
      <c r="P213" s="6" t="s">
        <v>40</v>
      </c>
      <c r="Q213" s="14">
        <f t="shared" si="9"/>
        <v>45200</v>
      </c>
      <c r="R213" s="15">
        <f t="shared" si="10"/>
        <v>0.30555555555555552</v>
      </c>
      <c r="S213" s="16">
        <f t="shared" si="11"/>
        <v>0.04</v>
      </c>
    </row>
    <row r="214" spans="1:19">
      <c r="A214" s="1" t="s">
        <v>19</v>
      </c>
      <c r="B214" s="2" t="s">
        <v>20</v>
      </c>
      <c r="C214" s="3" t="s">
        <v>48</v>
      </c>
      <c r="D214" s="3" t="s">
        <v>49</v>
      </c>
      <c r="E214" s="2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4">
        <v>45261</v>
      </c>
      <c r="N214" s="5">
        <v>12</v>
      </c>
      <c r="O214" s="3" t="s">
        <v>30</v>
      </c>
      <c r="P214" s="6" t="s">
        <v>40</v>
      </c>
      <c r="Q214" s="14">
        <f t="shared" si="9"/>
        <v>45261</v>
      </c>
      <c r="R214" s="15">
        <f t="shared" si="10"/>
        <v>0.22619047619047619</v>
      </c>
      <c r="S214" s="16">
        <f t="shared" si="11"/>
        <v>0.04</v>
      </c>
    </row>
    <row r="215" spans="1:19">
      <c r="A215" s="1" t="s">
        <v>19</v>
      </c>
      <c r="B215" s="2" t="s">
        <v>25</v>
      </c>
      <c r="C215" s="3" t="s">
        <v>31</v>
      </c>
      <c r="D215" s="3" t="s">
        <v>51</v>
      </c>
      <c r="E215" s="2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1912.3500000000004</v>
      </c>
      <c r="M215" s="4">
        <v>45200</v>
      </c>
      <c r="N215" s="5">
        <v>10</v>
      </c>
      <c r="O215" s="3" t="s">
        <v>39</v>
      </c>
      <c r="P215" s="6" t="s">
        <v>40</v>
      </c>
      <c r="Q215" s="14">
        <f t="shared" si="9"/>
        <v>45200</v>
      </c>
      <c r="R215" s="15">
        <f t="shared" si="10"/>
        <v>0.24812030075187974</v>
      </c>
      <c r="S215" s="16">
        <f t="shared" si="11"/>
        <v>4.9999999999999996E-2</v>
      </c>
    </row>
    <row r="216" spans="1:19">
      <c r="A216" s="1" t="s">
        <v>19</v>
      </c>
      <c r="B216" s="2" t="s">
        <v>25</v>
      </c>
      <c r="C216" s="3" t="s">
        <v>42</v>
      </c>
      <c r="D216" s="3" t="s">
        <v>51</v>
      </c>
      <c r="E216" s="2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2263.7999999999993</v>
      </c>
      <c r="M216" s="4">
        <v>45292</v>
      </c>
      <c r="N216" s="5">
        <v>1</v>
      </c>
      <c r="O216" s="3" t="s">
        <v>23</v>
      </c>
      <c r="P216" s="6" t="s">
        <v>24</v>
      </c>
      <c r="Q216" s="14">
        <f t="shared" si="9"/>
        <v>45292</v>
      </c>
      <c r="R216" s="15">
        <f t="shared" si="10"/>
        <v>0.24812030075187963</v>
      </c>
      <c r="S216" s="16">
        <f t="shared" si="11"/>
        <v>4.9999999999999996E-2</v>
      </c>
    </row>
    <row r="217" spans="1:19">
      <c r="A217" s="1" t="s">
        <v>19</v>
      </c>
      <c r="B217" s="2" t="s">
        <v>20</v>
      </c>
      <c r="C217" s="3" t="s">
        <v>42</v>
      </c>
      <c r="D217" s="3" t="s">
        <v>51</v>
      </c>
      <c r="E217" s="2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3875.8500000000004</v>
      </c>
      <c r="M217" s="4">
        <v>45170</v>
      </c>
      <c r="N217" s="5">
        <v>9</v>
      </c>
      <c r="O217" s="3" t="s">
        <v>38</v>
      </c>
      <c r="P217" s="6" t="s">
        <v>40</v>
      </c>
      <c r="Q217" s="14">
        <f t="shared" si="9"/>
        <v>45170</v>
      </c>
      <c r="R217" s="15">
        <f t="shared" si="10"/>
        <v>0.24812030075187971</v>
      </c>
      <c r="S217" s="16">
        <f t="shared" si="11"/>
        <v>4.9999999999999996E-2</v>
      </c>
    </row>
    <row r="218" spans="1:19">
      <c r="A218" s="1" t="s">
        <v>19</v>
      </c>
      <c r="B218" s="2" t="s">
        <v>29</v>
      </c>
      <c r="C218" s="3" t="s">
        <v>42</v>
      </c>
      <c r="D218" s="3" t="s">
        <v>51</v>
      </c>
      <c r="E218" s="2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4436.8499999999985</v>
      </c>
      <c r="M218" s="4">
        <v>45566</v>
      </c>
      <c r="N218" s="5">
        <v>10</v>
      </c>
      <c r="O218" s="3" t="s">
        <v>39</v>
      </c>
      <c r="P218" s="6" t="s">
        <v>24</v>
      </c>
      <c r="Q218" s="14">
        <f t="shared" si="9"/>
        <v>45566</v>
      </c>
      <c r="R218" s="15">
        <f t="shared" si="10"/>
        <v>0.24812030075187963</v>
      </c>
      <c r="S218" s="16">
        <f t="shared" si="11"/>
        <v>4.9999999999999996E-2</v>
      </c>
    </row>
    <row r="219" spans="1:19">
      <c r="A219" s="1" t="s">
        <v>33</v>
      </c>
      <c r="B219" s="2" t="s">
        <v>20</v>
      </c>
      <c r="C219" s="3" t="s">
        <v>42</v>
      </c>
      <c r="D219" s="3" t="s">
        <v>51</v>
      </c>
      <c r="E219" s="2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4">
        <v>45627</v>
      </c>
      <c r="N219" s="5">
        <v>12</v>
      </c>
      <c r="O219" s="3" t="s">
        <v>30</v>
      </c>
      <c r="P219" s="6" t="s">
        <v>24</v>
      </c>
      <c r="Q219" s="14">
        <f t="shared" si="9"/>
        <v>45627</v>
      </c>
      <c r="R219" s="15">
        <f t="shared" si="10"/>
        <v>0.73684210526315785</v>
      </c>
      <c r="S219" s="16">
        <f t="shared" si="11"/>
        <v>4.9999999999999996E-2</v>
      </c>
    </row>
    <row r="220" spans="1:19">
      <c r="A220" s="1" t="s">
        <v>33</v>
      </c>
      <c r="B220" s="2" t="s">
        <v>20</v>
      </c>
      <c r="C220" s="3" t="s">
        <v>45</v>
      </c>
      <c r="D220" s="3" t="s">
        <v>51</v>
      </c>
      <c r="E220" s="2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4">
        <v>45627</v>
      </c>
      <c r="N220" s="5">
        <v>12</v>
      </c>
      <c r="O220" s="3" t="s">
        <v>30</v>
      </c>
      <c r="P220" s="6" t="s">
        <v>24</v>
      </c>
      <c r="Q220" s="14">
        <f t="shared" si="9"/>
        <v>45627</v>
      </c>
      <c r="R220" s="15">
        <f t="shared" si="10"/>
        <v>0.73684210526315785</v>
      </c>
      <c r="S220" s="16">
        <f t="shared" si="11"/>
        <v>4.9999999999999996E-2</v>
      </c>
    </row>
    <row r="221" spans="1:19">
      <c r="A221" s="1" t="s">
        <v>19</v>
      </c>
      <c r="B221" s="2" t="s">
        <v>29</v>
      </c>
      <c r="C221" s="3" t="s">
        <v>46</v>
      </c>
      <c r="D221" s="3" t="s">
        <v>51</v>
      </c>
      <c r="E221" s="2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4436.8499999999985</v>
      </c>
      <c r="M221" s="4">
        <v>45566</v>
      </c>
      <c r="N221" s="5">
        <v>10</v>
      </c>
      <c r="O221" s="3" t="s">
        <v>39</v>
      </c>
      <c r="P221" s="6" t="s">
        <v>24</v>
      </c>
      <c r="Q221" s="14">
        <f t="shared" si="9"/>
        <v>45566</v>
      </c>
      <c r="R221" s="15">
        <f t="shared" si="10"/>
        <v>0.24812030075187963</v>
      </c>
      <c r="S221" s="16">
        <f t="shared" si="11"/>
        <v>4.9999999999999996E-2</v>
      </c>
    </row>
    <row r="222" spans="1:19">
      <c r="A222" s="1" t="s">
        <v>19</v>
      </c>
      <c r="B222" s="2" t="s">
        <v>29</v>
      </c>
      <c r="C222" s="3" t="s">
        <v>48</v>
      </c>
      <c r="D222" s="3" t="s">
        <v>51</v>
      </c>
      <c r="E222" s="2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2776.9500000000007</v>
      </c>
      <c r="M222" s="4">
        <v>45474</v>
      </c>
      <c r="N222" s="5">
        <v>7</v>
      </c>
      <c r="O222" s="3" t="s">
        <v>35</v>
      </c>
      <c r="P222" s="6" t="s">
        <v>24</v>
      </c>
      <c r="Q222" s="14">
        <f t="shared" si="9"/>
        <v>45474</v>
      </c>
      <c r="R222" s="15">
        <f t="shared" si="10"/>
        <v>0.24812030075187974</v>
      </c>
      <c r="S222" s="16">
        <f t="shared" si="11"/>
        <v>4.9999999999999996E-2</v>
      </c>
    </row>
    <row r="223" spans="1:19">
      <c r="A223" s="1" t="s">
        <v>33</v>
      </c>
      <c r="B223" s="2" t="s">
        <v>29</v>
      </c>
      <c r="C223" s="3" t="s">
        <v>48</v>
      </c>
      <c r="D223" s="3" t="s">
        <v>51</v>
      </c>
      <c r="E223" s="2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4">
        <v>45505</v>
      </c>
      <c r="N223" s="5">
        <v>8</v>
      </c>
      <c r="O223" s="3" t="s">
        <v>37</v>
      </c>
      <c r="P223" s="6" t="s">
        <v>24</v>
      </c>
      <c r="Q223" s="14">
        <f t="shared" si="9"/>
        <v>45505</v>
      </c>
      <c r="R223" s="15">
        <f t="shared" si="10"/>
        <v>0.73684210526315796</v>
      </c>
      <c r="S223" s="16">
        <f t="shared" si="11"/>
        <v>4.9999999999999996E-2</v>
      </c>
    </row>
    <row r="224" spans="1:19">
      <c r="A224" s="1" t="s">
        <v>19</v>
      </c>
      <c r="B224" s="2" t="s">
        <v>25</v>
      </c>
      <c r="C224" s="3" t="s">
        <v>48</v>
      </c>
      <c r="D224" s="3" t="s">
        <v>51</v>
      </c>
      <c r="E224" s="2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1912.3500000000004</v>
      </c>
      <c r="M224" s="4">
        <v>45200</v>
      </c>
      <c r="N224" s="5">
        <v>10</v>
      </c>
      <c r="O224" s="3" t="s">
        <v>39</v>
      </c>
      <c r="P224" s="6" t="s">
        <v>40</v>
      </c>
      <c r="Q224" s="14">
        <f t="shared" si="9"/>
        <v>45200</v>
      </c>
      <c r="R224" s="15">
        <f t="shared" si="10"/>
        <v>0.24812030075187974</v>
      </c>
      <c r="S224" s="16">
        <f t="shared" si="11"/>
        <v>4.9999999999999996E-2</v>
      </c>
    </row>
    <row r="225" spans="1:19">
      <c r="A225" s="1" t="s">
        <v>33</v>
      </c>
      <c r="B225" s="2" t="s">
        <v>27</v>
      </c>
      <c r="C225" s="3" t="s">
        <v>21</v>
      </c>
      <c r="D225" s="3" t="s">
        <v>51</v>
      </c>
      <c r="E225" s="2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4">
        <v>45323</v>
      </c>
      <c r="N225" s="5">
        <v>2</v>
      </c>
      <c r="O225" s="3" t="s">
        <v>43</v>
      </c>
      <c r="P225" s="6" t="s">
        <v>24</v>
      </c>
      <c r="Q225" s="14">
        <f t="shared" si="9"/>
        <v>45323</v>
      </c>
      <c r="R225" s="15">
        <f t="shared" si="10"/>
        <v>0.73684210526315785</v>
      </c>
      <c r="S225" s="16">
        <f t="shared" si="11"/>
        <v>0.05</v>
      </c>
    </row>
    <row r="226" spans="1:19">
      <c r="A226" s="1" t="s">
        <v>33</v>
      </c>
      <c r="B226" s="2" t="s">
        <v>25</v>
      </c>
      <c r="C226" s="3" t="s">
        <v>21</v>
      </c>
      <c r="D226" s="3" t="s">
        <v>51</v>
      </c>
      <c r="E226" s="2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4">
        <v>45323</v>
      </c>
      <c r="N226" s="5">
        <v>2</v>
      </c>
      <c r="O226" s="3" t="s">
        <v>43</v>
      </c>
      <c r="P226" s="6" t="s">
        <v>24</v>
      </c>
      <c r="Q226" s="14">
        <f t="shared" si="9"/>
        <v>45323</v>
      </c>
      <c r="R226" s="15">
        <f t="shared" si="10"/>
        <v>0.73684210526315785</v>
      </c>
      <c r="S226" s="16">
        <f t="shared" si="11"/>
        <v>0.05</v>
      </c>
    </row>
    <row r="227" spans="1:19">
      <c r="A227" s="1" t="s">
        <v>19</v>
      </c>
      <c r="B227" s="2" t="s">
        <v>27</v>
      </c>
      <c r="C227" s="3" t="s">
        <v>21</v>
      </c>
      <c r="D227" s="3" t="s">
        <v>51</v>
      </c>
      <c r="E227" s="2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4">
        <v>45413</v>
      </c>
      <c r="N227" s="5">
        <v>5</v>
      </c>
      <c r="O227" s="3" t="s">
        <v>50</v>
      </c>
      <c r="P227" s="6" t="s">
        <v>24</v>
      </c>
      <c r="Q227" s="14">
        <f t="shared" si="9"/>
        <v>45413</v>
      </c>
      <c r="R227" s="15">
        <f t="shared" si="10"/>
        <v>0.47368421052631576</v>
      </c>
      <c r="S227" s="16">
        <f t="shared" si="11"/>
        <v>0.05</v>
      </c>
    </row>
    <row r="228" spans="1:19">
      <c r="A228" s="1" t="s">
        <v>36</v>
      </c>
      <c r="B228" s="2" t="s">
        <v>41</v>
      </c>
      <c r="C228" s="3" t="s">
        <v>21</v>
      </c>
      <c r="D228" s="3" t="s">
        <v>51</v>
      </c>
      <c r="E228" s="2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4">
        <v>45444</v>
      </c>
      <c r="N228" s="5">
        <v>6</v>
      </c>
      <c r="O228" s="3" t="s">
        <v>28</v>
      </c>
      <c r="P228" s="6" t="s">
        <v>24</v>
      </c>
      <c r="Q228" s="14">
        <f t="shared" si="9"/>
        <v>45444</v>
      </c>
      <c r="R228" s="15">
        <f t="shared" si="10"/>
        <v>0.12280701754385964</v>
      </c>
      <c r="S228" s="16">
        <f t="shared" si="11"/>
        <v>0.05</v>
      </c>
    </row>
    <row r="229" spans="1:19">
      <c r="A229" s="1" t="s">
        <v>19</v>
      </c>
      <c r="B229" s="2" t="s">
        <v>25</v>
      </c>
      <c r="C229" s="3" t="s">
        <v>21</v>
      </c>
      <c r="D229" s="3" t="s">
        <v>51</v>
      </c>
      <c r="E229" s="2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1676.3999999999996</v>
      </c>
      <c r="M229" s="4">
        <v>45231</v>
      </c>
      <c r="N229" s="5">
        <v>11</v>
      </c>
      <c r="O229" s="3" t="s">
        <v>44</v>
      </c>
      <c r="P229" s="6" t="s">
        <v>40</v>
      </c>
      <c r="Q229" s="14">
        <f t="shared" si="9"/>
        <v>45231</v>
      </c>
      <c r="R229" s="15">
        <f t="shared" si="10"/>
        <v>0.24812030075187966</v>
      </c>
      <c r="S229" s="16">
        <f t="shared" si="11"/>
        <v>0.05</v>
      </c>
    </row>
    <row r="230" spans="1:19">
      <c r="A230" s="1" t="s">
        <v>26</v>
      </c>
      <c r="B230" s="2" t="s">
        <v>29</v>
      </c>
      <c r="C230" s="3" t="s">
        <v>21</v>
      </c>
      <c r="D230" s="3" t="s">
        <v>51</v>
      </c>
      <c r="E230" s="2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4">
        <v>45597</v>
      </c>
      <c r="N230" s="5">
        <v>11</v>
      </c>
      <c r="O230" s="3" t="s">
        <v>44</v>
      </c>
      <c r="P230" s="6" t="s">
        <v>24</v>
      </c>
      <c r="Q230" s="14">
        <f t="shared" si="9"/>
        <v>45597</v>
      </c>
      <c r="R230" s="15">
        <f t="shared" si="10"/>
        <v>0.2982456140350877</v>
      </c>
      <c r="S230" s="16">
        <f t="shared" si="11"/>
        <v>0.05</v>
      </c>
    </row>
    <row r="231" spans="1:19">
      <c r="A231" s="1" t="s">
        <v>19</v>
      </c>
      <c r="B231" s="2" t="s">
        <v>41</v>
      </c>
      <c r="C231" s="3" t="s">
        <v>21</v>
      </c>
      <c r="D231" s="3" t="s">
        <v>51</v>
      </c>
      <c r="E231" s="2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4">
        <v>45627</v>
      </c>
      <c r="N231" s="5">
        <v>12</v>
      </c>
      <c r="O231" s="3" t="s">
        <v>30</v>
      </c>
      <c r="P231" s="6" t="s">
        <v>24</v>
      </c>
      <c r="Q231" s="14">
        <f t="shared" si="9"/>
        <v>45627</v>
      </c>
      <c r="R231" s="15">
        <f t="shared" si="10"/>
        <v>0.24812030075187969</v>
      </c>
      <c r="S231" s="16">
        <f t="shared" si="11"/>
        <v>0.05</v>
      </c>
    </row>
    <row r="232" spans="1:19">
      <c r="A232" s="1" t="s">
        <v>19</v>
      </c>
      <c r="B232" s="2" t="s">
        <v>27</v>
      </c>
      <c r="C232" s="3" t="s">
        <v>21</v>
      </c>
      <c r="D232" s="3" t="s">
        <v>51</v>
      </c>
      <c r="E232" s="2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4103.5499999999993</v>
      </c>
      <c r="M232" s="4">
        <v>45627</v>
      </c>
      <c r="N232" s="5">
        <v>12</v>
      </c>
      <c r="O232" s="3" t="s">
        <v>30</v>
      </c>
      <c r="P232" s="6" t="s">
        <v>24</v>
      </c>
      <c r="Q232" s="14">
        <f t="shared" si="9"/>
        <v>45627</v>
      </c>
      <c r="R232" s="15">
        <f t="shared" si="10"/>
        <v>0.24812030075187966</v>
      </c>
      <c r="S232" s="16">
        <f t="shared" si="11"/>
        <v>0.05</v>
      </c>
    </row>
    <row r="233" spans="1:19">
      <c r="A233" s="1" t="s">
        <v>19</v>
      </c>
      <c r="B233" s="2" t="s">
        <v>27</v>
      </c>
      <c r="C233" s="3" t="s">
        <v>31</v>
      </c>
      <c r="D233" s="3" t="s">
        <v>51</v>
      </c>
      <c r="E233" s="2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4">
        <v>45292</v>
      </c>
      <c r="N233" s="5">
        <v>1</v>
      </c>
      <c r="O233" s="3" t="s">
        <v>23</v>
      </c>
      <c r="P233" s="6" t="s">
        <v>24</v>
      </c>
      <c r="Q233" s="14">
        <f t="shared" si="9"/>
        <v>45292</v>
      </c>
      <c r="R233" s="15">
        <f t="shared" si="10"/>
        <v>0.21804511278195488</v>
      </c>
      <c r="S233" s="16">
        <f t="shared" si="11"/>
        <v>0.05</v>
      </c>
    </row>
    <row r="234" spans="1:19">
      <c r="A234" s="1" t="s">
        <v>34</v>
      </c>
      <c r="B234" s="2" t="s">
        <v>41</v>
      </c>
      <c r="C234" s="3" t="s">
        <v>31</v>
      </c>
      <c r="D234" s="3" t="s">
        <v>51</v>
      </c>
      <c r="E234" s="2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4">
        <v>45474</v>
      </c>
      <c r="N234" s="5">
        <v>7</v>
      </c>
      <c r="O234" s="3" t="s">
        <v>35</v>
      </c>
      <c r="P234" s="6" t="s">
        <v>24</v>
      </c>
      <c r="Q234" s="14">
        <f t="shared" si="9"/>
        <v>45474</v>
      </c>
      <c r="R234" s="15">
        <f t="shared" si="10"/>
        <v>-1.0526315789473684E-2</v>
      </c>
      <c r="S234" s="16">
        <f t="shared" si="11"/>
        <v>0.05</v>
      </c>
    </row>
    <row r="235" spans="1:19">
      <c r="A235" s="1" t="s">
        <v>19</v>
      </c>
      <c r="B235" s="2" t="s">
        <v>29</v>
      </c>
      <c r="C235" s="3" t="s">
        <v>31</v>
      </c>
      <c r="D235" s="3" t="s">
        <v>51</v>
      </c>
      <c r="E235" s="2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4">
        <v>45170</v>
      </c>
      <c r="N235" s="5">
        <v>9</v>
      </c>
      <c r="O235" s="3" t="s">
        <v>38</v>
      </c>
      <c r="P235" s="6" t="s">
        <v>40</v>
      </c>
      <c r="Q235" s="14">
        <f t="shared" si="9"/>
        <v>45170</v>
      </c>
      <c r="R235" s="15">
        <f t="shared" si="10"/>
        <v>0.21804511278195488</v>
      </c>
      <c r="S235" s="16">
        <f t="shared" si="11"/>
        <v>0.05</v>
      </c>
    </row>
    <row r="236" spans="1:19">
      <c r="A236" s="1" t="s">
        <v>33</v>
      </c>
      <c r="B236" s="2" t="s">
        <v>25</v>
      </c>
      <c r="C236" s="3" t="s">
        <v>31</v>
      </c>
      <c r="D236" s="3" t="s">
        <v>51</v>
      </c>
      <c r="E236" s="2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4">
        <v>45597</v>
      </c>
      <c r="N236" s="5">
        <v>11</v>
      </c>
      <c r="O236" s="3" t="s">
        <v>44</v>
      </c>
      <c r="P236" s="6" t="s">
        <v>24</v>
      </c>
      <c r="Q236" s="14">
        <f t="shared" si="9"/>
        <v>45597</v>
      </c>
      <c r="R236" s="15">
        <f t="shared" si="10"/>
        <v>0.73684210526315785</v>
      </c>
      <c r="S236" s="16">
        <f t="shared" si="11"/>
        <v>0.05</v>
      </c>
    </row>
    <row r="237" spans="1:19">
      <c r="A237" s="1" t="s">
        <v>36</v>
      </c>
      <c r="B237" s="2" t="s">
        <v>29</v>
      </c>
      <c r="C237" s="3" t="s">
        <v>31</v>
      </c>
      <c r="D237" s="3" t="s">
        <v>51</v>
      </c>
      <c r="E237" s="2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4">
        <v>45261</v>
      </c>
      <c r="N237" s="5">
        <v>12</v>
      </c>
      <c r="O237" s="3" t="s">
        <v>30</v>
      </c>
      <c r="P237" s="6" t="s">
        <v>40</v>
      </c>
      <c r="Q237" s="14">
        <f t="shared" si="9"/>
        <v>45261</v>
      </c>
      <c r="R237" s="15">
        <f t="shared" si="10"/>
        <v>0.12280701754385964</v>
      </c>
      <c r="S237" s="16">
        <f t="shared" si="11"/>
        <v>0.05</v>
      </c>
    </row>
    <row r="238" spans="1:19">
      <c r="A238" s="1" t="s">
        <v>19</v>
      </c>
      <c r="B238" s="2" t="s">
        <v>27</v>
      </c>
      <c r="C238" s="3" t="s">
        <v>42</v>
      </c>
      <c r="D238" s="3" t="s">
        <v>51</v>
      </c>
      <c r="E238" s="2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4">
        <v>45323</v>
      </c>
      <c r="N238" s="5">
        <v>2</v>
      </c>
      <c r="O238" s="3" t="s">
        <v>43</v>
      </c>
      <c r="P238" s="6" t="s">
        <v>24</v>
      </c>
      <c r="Q238" s="14">
        <f t="shared" si="9"/>
        <v>45323</v>
      </c>
      <c r="R238" s="15">
        <f t="shared" si="10"/>
        <v>0.47368421052631576</v>
      </c>
      <c r="S238" s="16">
        <f t="shared" si="11"/>
        <v>0.05</v>
      </c>
    </row>
    <row r="239" spans="1:19">
      <c r="A239" s="1" t="s">
        <v>34</v>
      </c>
      <c r="B239" s="2" t="s">
        <v>41</v>
      </c>
      <c r="C239" s="3" t="s">
        <v>42</v>
      </c>
      <c r="D239" s="3" t="s">
        <v>51</v>
      </c>
      <c r="E239" s="2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4">
        <v>45352</v>
      </c>
      <c r="N239" s="5">
        <v>3</v>
      </c>
      <c r="O239" s="3" t="s">
        <v>32</v>
      </c>
      <c r="P239" s="6" t="s">
        <v>24</v>
      </c>
      <c r="Q239" s="14">
        <f t="shared" si="9"/>
        <v>45352</v>
      </c>
      <c r="R239" s="15">
        <f t="shared" si="10"/>
        <v>-1.0526315789473684E-2</v>
      </c>
      <c r="S239" s="16">
        <f t="shared" si="11"/>
        <v>0.05</v>
      </c>
    </row>
    <row r="240" spans="1:19">
      <c r="A240" s="1" t="s">
        <v>34</v>
      </c>
      <c r="B240" s="2" t="s">
        <v>27</v>
      </c>
      <c r="C240" s="3" t="s">
        <v>42</v>
      </c>
      <c r="D240" s="3" t="s">
        <v>51</v>
      </c>
      <c r="E240" s="2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4">
        <v>45352</v>
      </c>
      <c r="N240" s="5">
        <v>3</v>
      </c>
      <c r="O240" s="3" t="s">
        <v>32</v>
      </c>
      <c r="P240" s="6" t="s">
        <v>24</v>
      </c>
      <c r="Q240" s="14">
        <f t="shared" si="9"/>
        <v>45352</v>
      </c>
      <c r="R240" s="15">
        <f t="shared" si="10"/>
        <v>-1.0526315789473684E-2</v>
      </c>
      <c r="S240" s="16">
        <f t="shared" si="11"/>
        <v>0.05</v>
      </c>
    </row>
    <row r="241" spans="1:19">
      <c r="A241" s="1" t="s">
        <v>36</v>
      </c>
      <c r="B241" s="2" t="s">
        <v>29</v>
      </c>
      <c r="C241" s="3" t="s">
        <v>42</v>
      </c>
      <c r="D241" s="3" t="s">
        <v>51</v>
      </c>
      <c r="E241" s="2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4">
        <v>45383</v>
      </c>
      <c r="N241" s="5">
        <v>4</v>
      </c>
      <c r="O241" s="3" t="s">
        <v>47</v>
      </c>
      <c r="P241" s="6" t="s">
        <v>24</v>
      </c>
      <c r="Q241" s="14">
        <f t="shared" si="9"/>
        <v>45383</v>
      </c>
      <c r="R241" s="15">
        <f t="shared" si="10"/>
        <v>0.12280701754385964</v>
      </c>
      <c r="S241" s="16">
        <f t="shared" si="11"/>
        <v>0.05</v>
      </c>
    </row>
    <row r="242" spans="1:19">
      <c r="A242" s="1" t="s">
        <v>19</v>
      </c>
      <c r="B242" s="2" t="s">
        <v>41</v>
      </c>
      <c r="C242" s="3" t="s">
        <v>42</v>
      </c>
      <c r="D242" s="3" t="s">
        <v>51</v>
      </c>
      <c r="E242" s="2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3839.5499999999993</v>
      </c>
      <c r="M242" s="4">
        <v>45413</v>
      </c>
      <c r="N242" s="5">
        <v>5</v>
      </c>
      <c r="O242" s="3" t="s">
        <v>50</v>
      </c>
      <c r="P242" s="6" t="s">
        <v>24</v>
      </c>
      <c r="Q242" s="14">
        <f t="shared" si="9"/>
        <v>45413</v>
      </c>
      <c r="R242" s="15">
        <f t="shared" si="10"/>
        <v>0.24812030075187966</v>
      </c>
      <c r="S242" s="16">
        <f t="shared" si="11"/>
        <v>0.05</v>
      </c>
    </row>
    <row r="243" spans="1:19">
      <c r="A243" s="1" t="s">
        <v>36</v>
      </c>
      <c r="B243" s="2" t="s">
        <v>41</v>
      </c>
      <c r="C243" s="3" t="s">
        <v>42</v>
      </c>
      <c r="D243" s="3" t="s">
        <v>51</v>
      </c>
      <c r="E243" s="2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4">
        <v>45444</v>
      </c>
      <c r="N243" s="5">
        <v>6</v>
      </c>
      <c r="O243" s="3" t="s">
        <v>28</v>
      </c>
      <c r="P243" s="6" t="s">
        <v>24</v>
      </c>
      <c r="Q243" s="14">
        <f t="shared" si="9"/>
        <v>45444</v>
      </c>
      <c r="R243" s="15">
        <f t="shared" si="10"/>
        <v>0.12280701754385964</v>
      </c>
      <c r="S243" s="16">
        <f t="shared" si="11"/>
        <v>0.05</v>
      </c>
    </row>
    <row r="244" spans="1:19">
      <c r="A244" s="1" t="s">
        <v>19</v>
      </c>
      <c r="B244" s="2" t="s">
        <v>41</v>
      </c>
      <c r="C244" s="3" t="s">
        <v>42</v>
      </c>
      <c r="D244" s="3" t="s">
        <v>51</v>
      </c>
      <c r="E244" s="2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4">
        <v>45444</v>
      </c>
      <c r="N244" s="5">
        <v>6</v>
      </c>
      <c r="O244" s="3" t="s">
        <v>28</v>
      </c>
      <c r="P244" s="6" t="s">
        <v>24</v>
      </c>
      <c r="Q244" s="14">
        <f t="shared" si="9"/>
        <v>45444</v>
      </c>
      <c r="R244" s="15">
        <f t="shared" si="10"/>
        <v>0.21804511278195488</v>
      </c>
      <c r="S244" s="16">
        <f t="shared" si="11"/>
        <v>0.05</v>
      </c>
    </row>
    <row r="245" spans="1:19">
      <c r="A245" s="1" t="s">
        <v>26</v>
      </c>
      <c r="B245" s="2" t="s">
        <v>27</v>
      </c>
      <c r="C245" s="3" t="s">
        <v>42</v>
      </c>
      <c r="D245" s="3" t="s">
        <v>51</v>
      </c>
      <c r="E245" s="2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4">
        <v>45536</v>
      </c>
      <c r="N245" s="5">
        <v>9</v>
      </c>
      <c r="O245" s="3" t="s">
        <v>38</v>
      </c>
      <c r="P245" s="6" t="s">
        <v>24</v>
      </c>
      <c r="Q245" s="14">
        <f t="shared" si="9"/>
        <v>45536</v>
      </c>
      <c r="R245" s="15">
        <f t="shared" si="10"/>
        <v>0.2982456140350877</v>
      </c>
      <c r="S245" s="16">
        <f t="shared" si="11"/>
        <v>0.05</v>
      </c>
    </row>
    <row r="246" spans="1:19">
      <c r="A246" s="1" t="s">
        <v>19</v>
      </c>
      <c r="B246" s="2" t="s">
        <v>20</v>
      </c>
      <c r="C246" s="3" t="s">
        <v>42</v>
      </c>
      <c r="D246" s="3" t="s">
        <v>51</v>
      </c>
      <c r="E246" s="2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4">
        <v>45200</v>
      </c>
      <c r="N246" s="5">
        <v>10</v>
      </c>
      <c r="O246" s="3" t="s">
        <v>39</v>
      </c>
      <c r="P246" s="6" t="s">
        <v>40</v>
      </c>
      <c r="Q246" s="14">
        <f t="shared" si="9"/>
        <v>45200</v>
      </c>
      <c r="R246" s="15">
        <f t="shared" si="10"/>
        <v>0.21804511278195488</v>
      </c>
      <c r="S246" s="16">
        <f t="shared" si="11"/>
        <v>0.05</v>
      </c>
    </row>
    <row r="247" spans="1:19">
      <c r="A247" s="1" t="s">
        <v>19</v>
      </c>
      <c r="B247" s="2" t="s">
        <v>20</v>
      </c>
      <c r="C247" s="3" t="s">
        <v>42</v>
      </c>
      <c r="D247" s="3" t="s">
        <v>51</v>
      </c>
      <c r="E247" s="2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4">
        <v>45200</v>
      </c>
      <c r="N247" s="5">
        <v>10</v>
      </c>
      <c r="O247" s="3" t="s">
        <v>39</v>
      </c>
      <c r="P247" s="6" t="s">
        <v>40</v>
      </c>
      <c r="Q247" s="14">
        <f t="shared" si="9"/>
        <v>45200</v>
      </c>
      <c r="R247" s="15">
        <f t="shared" si="10"/>
        <v>0.47368421052631576</v>
      </c>
      <c r="S247" s="16">
        <f t="shared" si="11"/>
        <v>0.05</v>
      </c>
    </row>
    <row r="248" spans="1:19">
      <c r="A248" s="1" t="s">
        <v>34</v>
      </c>
      <c r="B248" s="2" t="s">
        <v>41</v>
      </c>
      <c r="C248" s="3" t="s">
        <v>42</v>
      </c>
      <c r="D248" s="3" t="s">
        <v>51</v>
      </c>
      <c r="E248" s="2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4">
        <v>45566</v>
      </c>
      <c r="N248" s="5">
        <v>10</v>
      </c>
      <c r="O248" s="3" t="s">
        <v>39</v>
      </c>
      <c r="P248" s="6" t="s">
        <v>24</v>
      </c>
      <c r="Q248" s="14">
        <f t="shared" si="9"/>
        <v>45566</v>
      </c>
      <c r="R248" s="15">
        <f t="shared" si="10"/>
        <v>-1.0526315789473684E-2</v>
      </c>
      <c r="S248" s="16">
        <f t="shared" si="11"/>
        <v>0.05</v>
      </c>
    </row>
    <row r="249" spans="1:19">
      <c r="A249" s="1" t="s">
        <v>34</v>
      </c>
      <c r="B249" s="2" t="s">
        <v>27</v>
      </c>
      <c r="C249" s="3" t="s">
        <v>42</v>
      </c>
      <c r="D249" s="3" t="s">
        <v>51</v>
      </c>
      <c r="E249" s="2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4">
        <v>45200</v>
      </c>
      <c r="N249" s="5">
        <v>10</v>
      </c>
      <c r="O249" s="3" t="s">
        <v>39</v>
      </c>
      <c r="P249" s="6" t="s">
        <v>40</v>
      </c>
      <c r="Q249" s="14">
        <f t="shared" si="9"/>
        <v>45200</v>
      </c>
      <c r="R249" s="15">
        <f t="shared" si="10"/>
        <v>-1.0526315789473684E-2</v>
      </c>
      <c r="S249" s="16">
        <f t="shared" si="11"/>
        <v>0.05</v>
      </c>
    </row>
    <row r="250" spans="1:19">
      <c r="A250" s="1" t="s">
        <v>19</v>
      </c>
      <c r="B250" s="2" t="s">
        <v>20</v>
      </c>
      <c r="C250" s="3" t="s">
        <v>42</v>
      </c>
      <c r="D250" s="3" t="s">
        <v>51</v>
      </c>
      <c r="E250" s="2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4">
        <v>45261</v>
      </c>
      <c r="N250" s="5">
        <v>12</v>
      </c>
      <c r="O250" s="3" t="s">
        <v>30</v>
      </c>
      <c r="P250" s="6" t="s">
        <v>40</v>
      </c>
      <c r="Q250" s="14">
        <f t="shared" si="9"/>
        <v>45261</v>
      </c>
      <c r="R250" s="15">
        <f t="shared" si="10"/>
        <v>0.47368421052631576</v>
      </c>
      <c r="S250" s="16">
        <f t="shared" si="11"/>
        <v>0.05</v>
      </c>
    </row>
    <row r="251" spans="1:19">
      <c r="A251" s="1" t="s">
        <v>19</v>
      </c>
      <c r="B251" s="2" t="s">
        <v>41</v>
      </c>
      <c r="C251" s="3" t="s">
        <v>42</v>
      </c>
      <c r="D251" s="3" t="s">
        <v>51</v>
      </c>
      <c r="E251" s="2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4">
        <v>45627</v>
      </c>
      <c r="N251" s="5">
        <v>12</v>
      </c>
      <c r="O251" s="3" t="s">
        <v>30</v>
      </c>
      <c r="P251" s="6" t="s">
        <v>24</v>
      </c>
      <c r="Q251" s="14">
        <f t="shared" si="9"/>
        <v>45627</v>
      </c>
      <c r="R251" s="15">
        <f t="shared" si="10"/>
        <v>0.47368421052631576</v>
      </c>
      <c r="S251" s="16">
        <f t="shared" si="11"/>
        <v>0.05</v>
      </c>
    </row>
    <row r="252" spans="1:19">
      <c r="A252" s="1" t="s">
        <v>19</v>
      </c>
      <c r="B252" s="2" t="s">
        <v>27</v>
      </c>
      <c r="C252" s="3" t="s">
        <v>42</v>
      </c>
      <c r="D252" s="3" t="s">
        <v>51</v>
      </c>
      <c r="E252" s="2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3524.3999999999996</v>
      </c>
      <c r="M252" s="4">
        <v>45261</v>
      </c>
      <c r="N252" s="5">
        <v>12</v>
      </c>
      <c r="O252" s="3" t="s">
        <v>30</v>
      </c>
      <c r="P252" s="6" t="s">
        <v>40</v>
      </c>
      <c r="Q252" s="14">
        <f t="shared" si="9"/>
        <v>45261</v>
      </c>
      <c r="R252" s="15">
        <f t="shared" si="10"/>
        <v>0.24812030075187969</v>
      </c>
      <c r="S252" s="16">
        <f t="shared" si="11"/>
        <v>0.05</v>
      </c>
    </row>
    <row r="253" spans="1:19">
      <c r="A253" s="1" t="s">
        <v>26</v>
      </c>
      <c r="B253" s="2" t="s">
        <v>25</v>
      </c>
      <c r="C253" s="3" t="s">
        <v>42</v>
      </c>
      <c r="D253" s="3" t="s">
        <v>51</v>
      </c>
      <c r="E253" s="2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4">
        <v>45261</v>
      </c>
      <c r="N253" s="5">
        <v>12</v>
      </c>
      <c r="O253" s="3" t="s">
        <v>30</v>
      </c>
      <c r="P253" s="6" t="s">
        <v>40</v>
      </c>
      <c r="Q253" s="14">
        <f t="shared" si="9"/>
        <v>45261</v>
      </c>
      <c r="R253" s="15">
        <f t="shared" si="10"/>
        <v>0.2982456140350877</v>
      </c>
      <c r="S253" s="16">
        <f t="shared" si="11"/>
        <v>0.05</v>
      </c>
    </row>
    <row r="254" spans="1:19">
      <c r="A254" s="1" t="s">
        <v>26</v>
      </c>
      <c r="B254" s="2" t="s">
        <v>41</v>
      </c>
      <c r="C254" s="3" t="s">
        <v>45</v>
      </c>
      <c r="D254" s="3" t="s">
        <v>51</v>
      </c>
      <c r="E254" s="2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4">
        <v>45292</v>
      </c>
      <c r="N254" s="5">
        <v>1</v>
      </c>
      <c r="O254" s="3" t="s">
        <v>23</v>
      </c>
      <c r="P254" s="6" t="s">
        <v>24</v>
      </c>
      <c r="Q254" s="14">
        <f t="shared" si="9"/>
        <v>45292</v>
      </c>
      <c r="R254" s="15">
        <f t="shared" si="10"/>
        <v>0.2982456140350877</v>
      </c>
      <c r="S254" s="16">
        <f t="shared" si="11"/>
        <v>0.05</v>
      </c>
    </row>
    <row r="255" spans="1:19">
      <c r="A255" s="1" t="s">
        <v>26</v>
      </c>
      <c r="B255" s="2" t="s">
        <v>29</v>
      </c>
      <c r="C255" s="3" t="s">
        <v>45</v>
      </c>
      <c r="D255" s="3" t="s">
        <v>51</v>
      </c>
      <c r="E255" s="2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4">
        <v>45292</v>
      </c>
      <c r="N255" s="5">
        <v>1</v>
      </c>
      <c r="O255" s="3" t="s">
        <v>23</v>
      </c>
      <c r="P255" s="6" t="s">
        <v>24</v>
      </c>
      <c r="Q255" s="14">
        <f t="shared" si="9"/>
        <v>45292</v>
      </c>
      <c r="R255" s="15">
        <f t="shared" si="10"/>
        <v>0.2982456140350877</v>
      </c>
      <c r="S255" s="16">
        <f t="shared" si="11"/>
        <v>0.05</v>
      </c>
    </row>
    <row r="256" spans="1:19">
      <c r="A256" s="1" t="s">
        <v>34</v>
      </c>
      <c r="B256" s="2" t="s">
        <v>25</v>
      </c>
      <c r="C256" s="3" t="s">
        <v>45</v>
      </c>
      <c r="D256" s="3" t="s">
        <v>51</v>
      </c>
      <c r="E256" s="2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4">
        <v>45323</v>
      </c>
      <c r="N256" s="5">
        <v>2</v>
      </c>
      <c r="O256" s="3" t="s">
        <v>43</v>
      </c>
      <c r="P256" s="6" t="s">
        <v>24</v>
      </c>
      <c r="Q256" s="14">
        <f t="shared" si="9"/>
        <v>45323</v>
      </c>
      <c r="R256" s="15">
        <f t="shared" si="10"/>
        <v>-1.0526315789473684E-2</v>
      </c>
      <c r="S256" s="16">
        <f t="shared" si="11"/>
        <v>0.05</v>
      </c>
    </row>
    <row r="257" spans="1:19">
      <c r="A257" s="1" t="s">
        <v>19</v>
      </c>
      <c r="B257" s="2" t="s">
        <v>41</v>
      </c>
      <c r="C257" s="3" t="s">
        <v>45</v>
      </c>
      <c r="D257" s="3" t="s">
        <v>51</v>
      </c>
      <c r="E257" s="2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4">
        <v>45444</v>
      </c>
      <c r="N257" s="5">
        <v>6</v>
      </c>
      <c r="O257" s="3" t="s">
        <v>28</v>
      </c>
      <c r="P257" s="6" t="s">
        <v>24</v>
      </c>
      <c r="Q257" s="14">
        <f t="shared" si="9"/>
        <v>45444</v>
      </c>
      <c r="R257" s="15">
        <f t="shared" si="10"/>
        <v>0.21804511278195488</v>
      </c>
      <c r="S257" s="16">
        <f t="shared" si="11"/>
        <v>0.05</v>
      </c>
    </row>
    <row r="258" spans="1:19">
      <c r="A258" s="1" t="s">
        <v>19</v>
      </c>
      <c r="B258" s="2" t="s">
        <v>41</v>
      </c>
      <c r="C258" s="3" t="s">
        <v>45</v>
      </c>
      <c r="D258" s="3" t="s">
        <v>51</v>
      </c>
      <c r="E258" s="2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4">
        <v>45505</v>
      </c>
      <c r="N258" s="5">
        <v>8</v>
      </c>
      <c r="O258" s="3" t="s">
        <v>37</v>
      </c>
      <c r="P258" s="6" t="s">
        <v>24</v>
      </c>
      <c r="Q258" s="14">
        <f t="shared" ref="Q258:Q321" si="12">DATE($P258,$N258,1)</f>
        <v>45505</v>
      </c>
      <c r="R258" s="15">
        <f t="shared" ref="R258:R321" si="13">IFERROR($L258/$J258,0)</f>
        <v>0.47368421052631576</v>
      </c>
      <c r="S258" s="16">
        <f t="shared" ref="S258:S321" si="14">IFERROR($I258/$H258,0)</f>
        <v>0.05</v>
      </c>
    </row>
    <row r="259" spans="1:19">
      <c r="A259" s="1" t="s">
        <v>19</v>
      </c>
      <c r="B259" s="2" t="s">
        <v>27</v>
      </c>
      <c r="C259" s="3" t="s">
        <v>45</v>
      </c>
      <c r="D259" s="3" t="s">
        <v>51</v>
      </c>
      <c r="E259" s="2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4">
        <v>45505</v>
      </c>
      <c r="N259" s="5">
        <v>8</v>
      </c>
      <c r="O259" s="3" t="s">
        <v>37</v>
      </c>
      <c r="P259" s="6" t="s">
        <v>24</v>
      </c>
      <c r="Q259" s="14">
        <f t="shared" si="12"/>
        <v>45505</v>
      </c>
      <c r="R259" s="15">
        <f t="shared" si="13"/>
        <v>0.47368421052631576</v>
      </c>
      <c r="S259" s="16">
        <f t="shared" si="14"/>
        <v>0.05</v>
      </c>
    </row>
    <row r="260" spans="1:19">
      <c r="A260" s="1" t="s">
        <v>34</v>
      </c>
      <c r="B260" s="2" t="s">
        <v>41</v>
      </c>
      <c r="C260" s="3" t="s">
        <v>45</v>
      </c>
      <c r="D260" s="3" t="s">
        <v>51</v>
      </c>
      <c r="E260" s="2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4">
        <v>45566</v>
      </c>
      <c r="N260" s="5">
        <v>10</v>
      </c>
      <c r="O260" s="3" t="s">
        <v>39</v>
      </c>
      <c r="P260" s="6" t="s">
        <v>24</v>
      </c>
      <c r="Q260" s="14">
        <f t="shared" si="12"/>
        <v>45566</v>
      </c>
      <c r="R260" s="15">
        <f t="shared" si="13"/>
        <v>-1.0526315789473684E-2</v>
      </c>
      <c r="S260" s="16">
        <f t="shared" si="14"/>
        <v>0.05</v>
      </c>
    </row>
    <row r="261" spans="1:19">
      <c r="A261" s="1" t="s">
        <v>34</v>
      </c>
      <c r="B261" s="2" t="s">
        <v>27</v>
      </c>
      <c r="C261" s="3" t="s">
        <v>45</v>
      </c>
      <c r="D261" s="3" t="s">
        <v>51</v>
      </c>
      <c r="E261" s="2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4">
        <v>45200</v>
      </c>
      <c r="N261" s="5">
        <v>10</v>
      </c>
      <c r="O261" s="3" t="s">
        <v>39</v>
      </c>
      <c r="P261" s="6" t="s">
        <v>40</v>
      </c>
      <c r="Q261" s="14">
        <f t="shared" si="12"/>
        <v>45200</v>
      </c>
      <c r="R261" s="15">
        <f t="shared" si="13"/>
        <v>-1.0526315789473684E-2</v>
      </c>
      <c r="S261" s="16">
        <f t="shared" si="14"/>
        <v>0.05</v>
      </c>
    </row>
    <row r="262" spans="1:19">
      <c r="A262" s="1" t="s">
        <v>19</v>
      </c>
      <c r="B262" s="2" t="s">
        <v>27</v>
      </c>
      <c r="C262" s="3" t="s">
        <v>45</v>
      </c>
      <c r="D262" s="3" t="s">
        <v>51</v>
      </c>
      <c r="E262" s="2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4">
        <v>45261</v>
      </c>
      <c r="N262" s="5">
        <v>12</v>
      </c>
      <c r="O262" s="3" t="s">
        <v>30</v>
      </c>
      <c r="P262" s="6" t="s">
        <v>40</v>
      </c>
      <c r="Q262" s="14">
        <f t="shared" si="12"/>
        <v>45261</v>
      </c>
      <c r="R262" s="15">
        <f t="shared" si="13"/>
        <v>0.47368421052631576</v>
      </c>
      <c r="S262" s="16">
        <f t="shared" si="14"/>
        <v>0.05</v>
      </c>
    </row>
    <row r="263" spans="1:19">
      <c r="A263" s="1" t="s">
        <v>36</v>
      </c>
      <c r="B263" s="2" t="s">
        <v>25</v>
      </c>
      <c r="C263" s="3" t="s">
        <v>45</v>
      </c>
      <c r="D263" s="3" t="s">
        <v>51</v>
      </c>
      <c r="E263" s="2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4">
        <v>45627</v>
      </c>
      <c r="N263" s="5">
        <v>12</v>
      </c>
      <c r="O263" s="3" t="s">
        <v>30</v>
      </c>
      <c r="P263" s="6" t="s">
        <v>24</v>
      </c>
      <c r="Q263" s="14">
        <f t="shared" si="12"/>
        <v>45627</v>
      </c>
      <c r="R263" s="15">
        <f t="shared" si="13"/>
        <v>0.12280701754385964</v>
      </c>
      <c r="S263" s="16">
        <f t="shared" si="14"/>
        <v>0.05</v>
      </c>
    </row>
    <row r="264" spans="1:19">
      <c r="A264" s="1" t="s">
        <v>19</v>
      </c>
      <c r="B264" s="2" t="s">
        <v>20</v>
      </c>
      <c r="C264" s="3" t="s">
        <v>46</v>
      </c>
      <c r="D264" s="3" t="s">
        <v>51</v>
      </c>
      <c r="E264" s="2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4">
        <v>45200</v>
      </c>
      <c r="N264" s="5">
        <v>10</v>
      </c>
      <c r="O264" s="3" t="s">
        <v>39</v>
      </c>
      <c r="P264" s="6" t="s">
        <v>40</v>
      </c>
      <c r="Q264" s="14">
        <f t="shared" si="12"/>
        <v>45200</v>
      </c>
      <c r="R264" s="15">
        <f t="shared" si="13"/>
        <v>0.47368421052631576</v>
      </c>
      <c r="S264" s="16">
        <f t="shared" si="14"/>
        <v>0.05</v>
      </c>
    </row>
    <row r="265" spans="1:19">
      <c r="A265" s="1" t="s">
        <v>19</v>
      </c>
      <c r="B265" s="2" t="s">
        <v>41</v>
      </c>
      <c r="C265" s="3" t="s">
        <v>46</v>
      </c>
      <c r="D265" s="3" t="s">
        <v>51</v>
      </c>
      <c r="E265" s="2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4">
        <v>45231</v>
      </c>
      <c r="N265" s="5">
        <v>11</v>
      </c>
      <c r="O265" s="3" t="s">
        <v>44</v>
      </c>
      <c r="P265" s="6" t="s">
        <v>40</v>
      </c>
      <c r="Q265" s="14">
        <f t="shared" si="12"/>
        <v>45231</v>
      </c>
      <c r="R265" s="15">
        <f t="shared" si="13"/>
        <v>0.47368421052631576</v>
      </c>
      <c r="S265" s="16">
        <f t="shared" si="14"/>
        <v>0.05</v>
      </c>
    </row>
    <row r="266" spans="1:19">
      <c r="A266" s="1" t="s">
        <v>19</v>
      </c>
      <c r="B266" s="2" t="s">
        <v>25</v>
      </c>
      <c r="C266" s="3" t="s">
        <v>46</v>
      </c>
      <c r="D266" s="3" t="s">
        <v>51</v>
      </c>
      <c r="E266" s="2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4">
        <v>45231</v>
      </c>
      <c r="N266" s="5">
        <v>11</v>
      </c>
      <c r="O266" s="3" t="s">
        <v>44</v>
      </c>
      <c r="P266" s="6" t="s">
        <v>40</v>
      </c>
      <c r="Q266" s="14">
        <f t="shared" si="12"/>
        <v>45231</v>
      </c>
      <c r="R266" s="15">
        <f t="shared" si="13"/>
        <v>0.47368421052631576</v>
      </c>
      <c r="S266" s="16">
        <f t="shared" si="14"/>
        <v>0.05</v>
      </c>
    </row>
    <row r="267" spans="1:19">
      <c r="A267" s="1" t="s">
        <v>19</v>
      </c>
      <c r="B267" s="2" t="s">
        <v>41</v>
      </c>
      <c r="C267" s="3" t="s">
        <v>46</v>
      </c>
      <c r="D267" s="3" t="s">
        <v>51</v>
      </c>
      <c r="E267" s="2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4">
        <v>45627</v>
      </c>
      <c r="N267" s="5">
        <v>12</v>
      </c>
      <c r="O267" s="3" t="s">
        <v>30</v>
      </c>
      <c r="P267" s="6" t="s">
        <v>24</v>
      </c>
      <c r="Q267" s="14">
        <f t="shared" si="12"/>
        <v>45627</v>
      </c>
      <c r="R267" s="15">
        <f t="shared" si="13"/>
        <v>0.47368421052631576</v>
      </c>
      <c r="S267" s="16">
        <f t="shared" si="14"/>
        <v>0.05</v>
      </c>
    </row>
    <row r="268" spans="1:19">
      <c r="A268" s="1" t="s">
        <v>19</v>
      </c>
      <c r="B268" s="2" t="s">
        <v>41</v>
      </c>
      <c r="C268" s="3" t="s">
        <v>46</v>
      </c>
      <c r="D268" s="3" t="s">
        <v>51</v>
      </c>
      <c r="E268" s="2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4">
        <v>45627</v>
      </c>
      <c r="N268" s="5">
        <v>12</v>
      </c>
      <c r="O268" s="3" t="s">
        <v>30</v>
      </c>
      <c r="P268" s="6" t="s">
        <v>24</v>
      </c>
      <c r="Q268" s="14">
        <f t="shared" si="12"/>
        <v>45627</v>
      </c>
      <c r="R268" s="15">
        <f t="shared" si="13"/>
        <v>0.24812030075187969</v>
      </c>
      <c r="S268" s="16">
        <f t="shared" si="14"/>
        <v>0.05</v>
      </c>
    </row>
    <row r="269" spans="1:19">
      <c r="A269" s="1" t="s">
        <v>19</v>
      </c>
      <c r="B269" s="2" t="s">
        <v>27</v>
      </c>
      <c r="C269" s="3" t="s">
        <v>46</v>
      </c>
      <c r="D269" s="3" t="s">
        <v>51</v>
      </c>
      <c r="E269" s="2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4103.5499999999993</v>
      </c>
      <c r="M269" s="4">
        <v>45627</v>
      </c>
      <c r="N269" s="5">
        <v>12</v>
      </c>
      <c r="O269" s="3" t="s">
        <v>30</v>
      </c>
      <c r="P269" s="6" t="s">
        <v>24</v>
      </c>
      <c r="Q269" s="14">
        <f t="shared" si="12"/>
        <v>45627</v>
      </c>
      <c r="R269" s="15">
        <f t="shared" si="13"/>
        <v>0.24812030075187966</v>
      </c>
      <c r="S269" s="16">
        <f t="shared" si="14"/>
        <v>0.05</v>
      </c>
    </row>
    <row r="270" spans="1:19">
      <c r="A270" s="1" t="s">
        <v>19</v>
      </c>
      <c r="B270" s="2" t="s">
        <v>25</v>
      </c>
      <c r="C270" s="3" t="s">
        <v>48</v>
      </c>
      <c r="D270" s="3" t="s">
        <v>51</v>
      </c>
      <c r="E270" s="2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4">
        <v>45323</v>
      </c>
      <c r="N270" s="5">
        <v>2</v>
      </c>
      <c r="O270" s="3" t="s">
        <v>43</v>
      </c>
      <c r="P270" s="6" t="s">
        <v>24</v>
      </c>
      <c r="Q270" s="14">
        <f t="shared" si="12"/>
        <v>45323</v>
      </c>
      <c r="R270" s="15">
        <f t="shared" si="13"/>
        <v>0.21804511278195488</v>
      </c>
      <c r="S270" s="16">
        <f t="shared" si="14"/>
        <v>0.05</v>
      </c>
    </row>
    <row r="271" spans="1:19">
      <c r="A271" s="1" t="s">
        <v>19</v>
      </c>
      <c r="B271" s="2" t="s">
        <v>20</v>
      </c>
      <c r="C271" s="3" t="s">
        <v>48</v>
      </c>
      <c r="D271" s="3" t="s">
        <v>51</v>
      </c>
      <c r="E271" s="2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4">
        <v>45505</v>
      </c>
      <c r="N271" s="5">
        <v>8</v>
      </c>
      <c r="O271" s="3" t="s">
        <v>37</v>
      </c>
      <c r="P271" s="6" t="s">
        <v>24</v>
      </c>
      <c r="Q271" s="14">
        <f t="shared" si="12"/>
        <v>45505</v>
      </c>
      <c r="R271" s="15">
        <f t="shared" si="13"/>
        <v>0.21804511278195488</v>
      </c>
      <c r="S271" s="16">
        <f t="shared" si="14"/>
        <v>0.05</v>
      </c>
    </row>
    <row r="272" spans="1:19">
      <c r="A272" s="1" t="s">
        <v>19</v>
      </c>
      <c r="B272" s="2" t="s">
        <v>20</v>
      </c>
      <c r="C272" s="3" t="s">
        <v>48</v>
      </c>
      <c r="D272" s="3" t="s">
        <v>51</v>
      </c>
      <c r="E272" s="2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4">
        <v>45200</v>
      </c>
      <c r="N272" s="5">
        <v>10</v>
      </c>
      <c r="O272" s="3" t="s">
        <v>39</v>
      </c>
      <c r="P272" s="6" t="s">
        <v>40</v>
      </c>
      <c r="Q272" s="14">
        <f t="shared" si="12"/>
        <v>45200</v>
      </c>
      <c r="R272" s="15">
        <f t="shared" si="13"/>
        <v>0.21804511278195488</v>
      </c>
      <c r="S272" s="16">
        <f t="shared" si="14"/>
        <v>0.05</v>
      </c>
    </row>
    <row r="273" spans="1:19">
      <c r="A273" s="1" t="s">
        <v>36</v>
      </c>
      <c r="B273" s="2" t="s">
        <v>25</v>
      </c>
      <c r="C273" s="3" t="s">
        <v>48</v>
      </c>
      <c r="D273" s="3" t="s">
        <v>51</v>
      </c>
      <c r="E273" s="2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4">
        <v>45627</v>
      </c>
      <c r="N273" s="5">
        <v>12</v>
      </c>
      <c r="O273" s="3" t="s">
        <v>30</v>
      </c>
      <c r="P273" s="6" t="s">
        <v>24</v>
      </c>
      <c r="Q273" s="14">
        <f t="shared" si="12"/>
        <v>45627</v>
      </c>
      <c r="R273" s="15">
        <f t="shared" si="13"/>
        <v>0.12280701754385964</v>
      </c>
      <c r="S273" s="16">
        <f t="shared" si="14"/>
        <v>0.05</v>
      </c>
    </row>
    <row r="274" spans="1:19">
      <c r="A274" s="1" t="s">
        <v>26</v>
      </c>
      <c r="B274" s="2" t="s">
        <v>27</v>
      </c>
      <c r="C274" s="3" t="s">
        <v>42</v>
      </c>
      <c r="D274" s="3" t="s">
        <v>51</v>
      </c>
      <c r="E274" s="2">
        <v>3801</v>
      </c>
      <c r="F274" s="3">
        <v>10</v>
      </c>
      <c r="G274" s="3">
        <v>15</v>
      </c>
      <c r="H274" s="3">
        <v>57015</v>
      </c>
      <c r="I274" s="3">
        <v>3420.8999999999996</v>
      </c>
      <c r="J274" s="3">
        <v>53594.100000000006</v>
      </c>
      <c r="K274" s="3">
        <v>38010</v>
      </c>
      <c r="L274" s="3">
        <v>15584.100000000002</v>
      </c>
      <c r="M274" s="4">
        <v>45383</v>
      </c>
      <c r="N274" s="5">
        <v>4</v>
      </c>
      <c r="O274" s="3" t="s">
        <v>47</v>
      </c>
      <c r="P274" s="6" t="s">
        <v>24</v>
      </c>
      <c r="Q274" s="14">
        <f t="shared" si="12"/>
        <v>45383</v>
      </c>
      <c r="R274" s="15">
        <f t="shared" si="13"/>
        <v>0.29078014184397166</v>
      </c>
      <c r="S274" s="16">
        <f t="shared" si="14"/>
        <v>5.9999999999999991E-2</v>
      </c>
    </row>
    <row r="275" spans="1:19">
      <c r="A275" s="1" t="s">
        <v>19</v>
      </c>
      <c r="B275" s="2" t="s">
        <v>41</v>
      </c>
      <c r="C275" s="3" t="s">
        <v>21</v>
      </c>
      <c r="D275" s="3" t="s">
        <v>51</v>
      </c>
      <c r="E275" s="2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4">
        <v>45292</v>
      </c>
      <c r="N275" s="5">
        <v>1</v>
      </c>
      <c r="O275" s="3" t="s">
        <v>23</v>
      </c>
      <c r="P275" s="6" t="s">
        <v>24</v>
      </c>
      <c r="Q275" s="14">
        <f t="shared" si="12"/>
        <v>45292</v>
      </c>
      <c r="R275" s="15">
        <f t="shared" si="13"/>
        <v>0.46808510638297873</v>
      </c>
      <c r="S275" s="16">
        <f t="shared" si="14"/>
        <v>0.06</v>
      </c>
    </row>
    <row r="276" spans="1:19">
      <c r="A276" s="1" t="s">
        <v>26</v>
      </c>
      <c r="B276" s="2" t="s">
        <v>20</v>
      </c>
      <c r="C276" s="3" t="s">
        <v>21</v>
      </c>
      <c r="D276" s="3" t="s">
        <v>51</v>
      </c>
      <c r="E276" s="2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11660.400000000001</v>
      </c>
      <c r="M276" s="4">
        <v>45444</v>
      </c>
      <c r="N276" s="5">
        <v>6</v>
      </c>
      <c r="O276" s="3" t="s">
        <v>28</v>
      </c>
      <c r="P276" s="6" t="s">
        <v>24</v>
      </c>
      <c r="Q276" s="14">
        <f t="shared" si="12"/>
        <v>45444</v>
      </c>
      <c r="R276" s="15">
        <f t="shared" si="13"/>
        <v>0.29078014184397166</v>
      </c>
      <c r="S276" s="16">
        <f t="shared" si="14"/>
        <v>0.06</v>
      </c>
    </row>
    <row r="277" spans="1:19">
      <c r="A277" s="1" t="s">
        <v>33</v>
      </c>
      <c r="B277" s="2" t="s">
        <v>29</v>
      </c>
      <c r="C277" s="3" t="s">
        <v>21</v>
      </c>
      <c r="D277" s="3" t="s">
        <v>51</v>
      </c>
      <c r="E277" s="2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4">
        <v>45536</v>
      </c>
      <c r="N277" s="5">
        <v>9</v>
      </c>
      <c r="O277" s="3" t="s">
        <v>38</v>
      </c>
      <c r="P277" s="6" t="s">
        <v>24</v>
      </c>
      <c r="Q277" s="14">
        <f t="shared" si="12"/>
        <v>45536</v>
      </c>
      <c r="R277" s="15">
        <f t="shared" si="13"/>
        <v>0.73404255319148937</v>
      </c>
      <c r="S277" s="16">
        <f t="shared" si="14"/>
        <v>0.06</v>
      </c>
    </row>
    <row r="278" spans="1:19">
      <c r="A278" s="1" t="s">
        <v>33</v>
      </c>
      <c r="B278" s="2" t="s">
        <v>20</v>
      </c>
      <c r="C278" s="3" t="s">
        <v>21</v>
      </c>
      <c r="D278" s="3" t="s">
        <v>51</v>
      </c>
      <c r="E278" s="2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4">
        <v>45200</v>
      </c>
      <c r="N278" s="5">
        <v>10</v>
      </c>
      <c r="O278" s="3" t="s">
        <v>39</v>
      </c>
      <c r="P278" s="6" t="s">
        <v>40</v>
      </c>
      <c r="Q278" s="14">
        <f t="shared" si="12"/>
        <v>45200</v>
      </c>
      <c r="R278" s="15">
        <f t="shared" si="13"/>
        <v>0.73404255319148937</v>
      </c>
      <c r="S278" s="16">
        <f t="shared" si="14"/>
        <v>0.06</v>
      </c>
    </row>
    <row r="279" spans="1:19">
      <c r="A279" s="1" t="s">
        <v>26</v>
      </c>
      <c r="B279" s="2" t="s">
        <v>41</v>
      </c>
      <c r="C279" s="3" t="s">
        <v>21</v>
      </c>
      <c r="D279" s="3" t="s">
        <v>51</v>
      </c>
      <c r="E279" s="2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4">
        <v>45597</v>
      </c>
      <c r="N279" s="5">
        <v>11</v>
      </c>
      <c r="O279" s="3" t="s">
        <v>44</v>
      </c>
      <c r="P279" s="6" t="s">
        <v>24</v>
      </c>
      <c r="Q279" s="14">
        <f t="shared" si="12"/>
        <v>45597</v>
      </c>
      <c r="R279" s="15">
        <f t="shared" si="13"/>
        <v>0.29078014184397161</v>
      </c>
      <c r="S279" s="16">
        <f t="shared" si="14"/>
        <v>0.06</v>
      </c>
    </row>
    <row r="280" spans="1:19">
      <c r="A280" s="1" t="s">
        <v>19</v>
      </c>
      <c r="B280" s="2" t="s">
        <v>41</v>
      </c>
      <c r="C280" s="3" t="s">
        <v>21</v>
      </c>
      <c r="D280" s="3" t="s">
        <v>51</v>
      </c>
      <c r="E280" s="2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415.53999999999996</v>
      </c>
      <c r="M280" s="4">
        <v>45231</v>
      </c>
      <c r="N280" s="5">
        <v>11</v>
      </c>
      <c r="O280" s="3" t="s">
        <v>44</v>
      </c>
      <c r="P280" s="6" t="s">
        <v>40</v>
      </c>
      <c r="Q280" s="14">
        <f t="shared" si="12"/>
        <v>45231</v>
      </c>
      <c r="R280" s="15">
        <f t="shared" si="13"/>
        <v>0.24012158054711244</v>
      </c>
      <c r="S280" s="16">
        <f t="shared" si="14"/>
        <v>0.06</v>
      </c>
    </row>
    <row r="281" spans="1:19">
      <c r="A281" s="1" t="s">
        <v>34</v>
      </c>
      <c r="B281" s="2" t="s">
        <v>25</v>
      </c>
      <c r="C281" s="3" t="s">
        <v>21</v>
      </c>
      <c r="D281" s="3" t="s">
        <v>51</v>
      </c>
      <c r="E281" s="2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4">
        <v>45261</v>
      </c>
      <c r="N281" s="5">
        <v>12</v>
      </c>
      <c r="O281" s="3" t="s">
        <v>30</v>
      </c>
      <c r="P281" s="6" t="s">
        <v>40</v>
      </c>
      <c r="Q281" s="14">
        <f t="shared" si="12"/>
        <v>45261</v>
      </c>
      <c r="R281" s="15">
        <f t="shared" si="13"/>
        <v>-2.1276595744680851E-2</v>
      </c>
      <c r="S281" s="16">
        <f t="shared" si="14"/>
        <v>0.06</v>
      </c>
    </row>
    <row r="282" spans="1:19">
      <c r="A282" s="1" t="s">
        <v>19</v>
      </c>
      <c r="B282" s="2" t="s">
        <v>29</v>
      </c>
      <c r="C282" s="3" t="s">
        <v>31</v>
      </c>
      <c r="D282" s="3" t="s">
        <v>51</v>
      </c>
      <c r="E282" s="2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4">
        <v>45383</v>
      </c>
      <c r="N282" s="5">
        <v>4</v>
      </c>
      <c r="O282" s="3" t="s">
        <v>47</v>
      </c>
      <c r="P282" s="6" t="s">
        <v>24</v>
      </c>
      <c r="Q282" s="14">
        <f t="shared" si="12"/>
        <v>45383</v>
      </c>
      <c r="R282" s="15">
        <f t="shared" si="13"/>
        <v>0.20972644376899696</v>
      </c>
      <c r="S282" s="16">
        <f t="shared" si="14"/>
        <v>0.06</v>
      </c>
    </row>
    <row r="283" spans="1:19">
      <c r="A283" s="1" t="s">
        <v>19</v>
      </c>
      <c r="B283" s="2" t="s">
        <v>25</v>
      </c>
      <c r="C283" s="3" t="s">
        <v>31</v>
      </c>
      <c r="D283" s="3" t="s">
        <v>51</v>
      </c>
      <c r="E283" s="2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4">
        <v>45413</v>
      </c>
      <c r="N283" s="5">
        <v>5</v>
      </c>
      <c r="O283" s="3" t="s">
        <v>50</v>
      </c>
      <c r="P283" s="6" t="s">
        <v>24</v>
      </c>
      <c r="Q283" s="14">
        <f t="shared" si="12"/>
        <v>45413</v>
      </c>
      <c r="R283" s="15">
        <f t="shared" si="13"/>
        <v>0.20972644376899696</v>
      </c>
      <c r="S283" s="16">
        <f t="shared" si="14"/>
        <v>0.06</v>
      </c>
    </row>
    <row r="284" spans="1:19">
      <c r="A284" s="1" t="s">
        <v>19</v>
      </c>
      <c r="B284" s="2" t="s">
        <v>27</v>
      </c>
      <c r="C284" s="3" t="s">
        <v>31</v>
      </c>
      <c r="D284" s="3" t="s">
        <v>51</v>
      </c>
      <c r="E284" s="2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4">
        <v>45200</v>
      </c>
      <c r="N284" s="5">
        <v>10</v>
      </c>
      <c r="O284" s="3" t="s">
        <v>39</v>
      </c>
      <c r="P284" s="6" t="s">
        <v>40</v>
      </c>
      <c r="Q284" s="14">
        <f t="shared" si="12"/>
        <v>45200</v>
      </c>
      <c r="R284" s="15">
        <f t="shared" si="13"/>
        <v>0.24012158054711244</v>
      </c>
      <c r="S284" s="16">
        <f t="shared" si="14"/>
        <v>0.06</v>
      </c>
    </row>
    <row r="285" spans="1:19">
      <c r="A285" s="1" t="s">
        <v>33</v>
      </c>
      <c r="B285" s="2" t="s">
        <v>41</v>
      </c>
      <c r="C285" s="3" t="s">
        <v>31</v>
      </c>
      <c r="D285" s="3" t="s">
        <v>51</v>
      </c>
      <c r="E285" s="2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4">
        <v>45597</v>
      </c>
      <c r="N285" s="5">
        <v>11</v>
      </c>
      <c r="O285" s="3" t="s">
        <v>44</v>
      </c>
      <c r="P285" s="6" t="s">
        <v>24</v>
      </c>
      <c r="Q285" s="14">
        <f t="shared" si="12"/>
        <v>45597</v>
      </c>
      <c r="R285" s="15">
        <f t="shared" si="13"/>
        <v>0.73404255319148937</v>
      </c>
      <c r="S285" s="16">
        <f t="shared" si="14"/>
        <v>0.06</v>
      </c>
    </row>
    <row r="286" spans="1:19">
      <c r="A286" s="1" t="s">
        <v>19</v>
      </c>
      <c r="B286" s="2" t="s">
        <v>27</v>
      </c>
      <c r="C286" s="3" t="s">
        <v>42</v>
      </c>
      <c r="D286" s="3" t="s">
        <v>51</v>
      </c>
      <c r="E286" s="2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4">
        <v>45444</v>
      </c>
      <c r="N286" s="5">
        <v>6</v>
      </c>
      <c r="O286" s="3" t="s">
        <v>28</v>
      </c>
      <c r="P286" s="6" t="s">
        <v>24</v>
      </c>
      <c r="Q286" s="14">
        <f t="shared" si="12"/>
        <v>45444</v>
      </c>
      <c r="R286" s="15">
        <f t="shared" si="13"/>
        <v>0.20972644376899696</v>
      </c>
      <c r="S286" s="16">
        <f t="shared" si="14"/>
        <v>0.06</v>
      </c>
    </row>
    <row r="287" spans="1:19">
      <c r="A287" s="1" t="s">
        <v>33</v>
      </c>
      <c r="B287" s="2" t="s">
        <v>20</v>
      </c>
      <c r="C287" s="3" t="s">
        <v>42</v>
      </c>
      <c r="D287" s="3" t="s">
        <v>51</v>
      </c>
      <c r="E287" s="2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4">
        <v>45200</v>
      </c>
      <c r="N287" s="5">
        <v>10</v>
      </c>
      <c r="O287" s="3" t="s">
        <v>39</v>
      </c>
      <c r="P287" s="6" t="s">
        <v>40</v>
      </c>
      <c r="Q287" s="14">
        <f t="shared" si="12"/>
        <v>45200</v>
      </c>
      <c r="R287" s="15">
        <f t="shared" si="13"/>
        <v>0.73404255319148937</v>
      </c>
      <c r="S287" s="16">
        <f t="shared" si="14"/>
        <v>0.06</v>
      </c>
    </row>
    <row r="288" spans="1:19">
      <c r="A288" s="1" t="s">
        <v>19</v>
      </c>
      <c r="B288" s="2" t="s">
        <v>41</v>
      </c>
      <c r="C288" s="3" t="s">
        <v>42</v>
      </c>
      <c r="D288" s="3" t="s">
        <v>51</v>
      </c>
      <c r="E288" s="2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4">
        <v>45200</v>
      </c>
      <c r="N288" s="5">
        <v>10</v>
      </c>
      <c r="O288" s="3" t="s">
        <v>39</v>
      </c>
      <c r="P288" s="6" t="s">
        <v>40</v>
      </c>
      <c r="Q288" s="14">
        <f t="shared" si="12"/>
        <v>45200</v>
      </c>
      <c r="R288" s="15">
        <f t="shared" si="13"/>
        <v>0.20972644376899696</v>
      </c>
      <c r="S288" s="16">
        <f t="shared" si="14"/>
        <v>0.06</v>
      </c>
    </row>
    <row r="289" spans="1:19">
      <c r="A289" s="1" t="s">
        <v>34</v>
      </c>
      <c r="B289" s="2" t="s">
        <v>20</v>
      </c>
      <c r="C289" s="3" t="s">
        <v>45</v>
      </c>
      <c r="D289" s="3" t="s">
        <v>51</v>
      </c>
      <c r="E289" s="2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4">
        <v>45323</v>
      </c>
      <c r="N289" s="5">
        <v>2</v>
      </c>
      <c r="O289" s="3" t="s">
        <v>43</v>
      </c>
      <c r="P289" s="6" t="s">
        <v>24</v>
      </c>
      <c r="Q289" s="14">
        <f t="shared" si="12"/>
        <v>45323</v>
      </c>
      <c r="R289" s="15">
        <f t="shared" si="13"/>
        <v>-2.1276595744680851E-2</v>
      </c>
      <c r="S289" s="16">
        <f t="shared" si="14"/>
        <v>0.06</v>
      </c>
    </row>
    <row r="290" spans="1:19">
      <c r="A290" s="1" t="s">
        <v>34</v>
      </c>
      <c r="B290" s="2" t="s">
        <v>41</v>
      </c>
      <c r="C290" s="3" t="s">
        <v>45</v>
      </c>
      <c r="D290" s="3" t="s">
        <v>51</v>
      </c>
      <c r="E290" s="2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4">
        <v>45323</v>
      </c>
      <c r="N290" s="5">
        <v>2</v>
      </c>
      <c r="O290" s="3" t="s">
        <v>43</v>
      </c>
      <c r="P290" s="6" t="s">
        <v>24</v>
      </c>
      <c r="Q290" s="14">
        <f t="shared" si="12"/>
        <v>45323</v>
      </c>
      <c r="R290" s="15">
        <f t="shared" si="13"/>
        <v>-2.1276595744680851E-2</v>
      </c>
      <c r="S290" s="16">
        <f t="shared" si="14"/>
        <v>0.06</v>
      </c>
    </row>
    <row r="291" spans="1:19">
      <c r="A291" s="1" t="s">
        <v>26</v>
      </c>
      <c r="B291" s="2" t="s">
        <v>25</v>
      </c>
      <c r="C291" s="3" t="s">
        <v>45</v>
      </c>
      <c r="D291" s="3" t="s">
        <v>51</v>
      </c>
      <c r="E291" s="2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4">
        <v>45413</v>
      </c>
      <c r="N291" s="5">
        <v>5</v>
      </c>
      <c r="O291" s="3" t="s">
        <v>50</v>
      </c>
      <c r="P291" s="6" t="s">
        <v>24</v>
      </c>
      <c r="Q291" s="14">
        <f t="shared" si="12"/>
        <v>45413</v>
      </c>
      <c r="R291" s="15">
        <f t="shared" si="13"/>
        <v>0.29078014184397161</v>
      </c>
      <c r="S291" s="16">
        <f t="shared" si="14"/>
        <v>0.06</v>
      </c>
    </row>
    <row r="292" spans="1:19">
      <c r="A292" s="1" t="s">
        <v>19</v>
      </c>
      <c r="B292" s="2" t="s">
        <v>27</v>
      </c>
      <c r="C292" s="3" t="s">
        <v>45</v>
      </c>
      <c r="D292" s="3" t="s">
        <v>51</v>
      </c>
      <c r="E292" s="2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4">
        <v>45444</v>
      </c>
      <c r="N292" s="5">
        <v>6</v>
      </c>
      <c r="O292" s="3" t="s">
        <v>28</v>
      </c>
      <c r="P292" s="6" t="s">
        <v>24</v>
      </c>
      <c r="Q292" s="14">
        <f t="shared" si="12"/>
        <v>45444</v>
      </c>
      <c r="R292" s="15">
        <f t="shared" si="13"/>
        <v>0.20972644376899696</v>
      </c>
      <c r="S292" s="16">
        <f t="shared" si="14"/>
        <v>0.06</v>
      </c>
    </row>
    <row r="293" spans="1:19">
      <c r="A293" s="1" t="s">
        <v>19</v>
      </c>
      <c r="B293" s="2" t="s">
        <v>29</v>
      </c>
      <c r="C293" s="3" t="s">
        <v>45</v>
      </c>
      <c r="D293" s="3" t="s">
        <v>51</v>
      </c>
      <c r="E293" s="2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4">
        <v>45444</v>
      </c>
      <c r="N293" s="5">
        <v>6</v>
      </c>
      <c r="O293" s="3" t="s">
        <v>28</v>
      </c>
      <c r="P293" s="6" t="s">
        <v>24</v>
      </c>
      <c r="Q293" s="14">
        <f t="shared" si="12"/>
        <v>45444</v>
      </c>
      <c r="R293" s="15">
        <f t="shared" si="13"/>
        <v>0.24012158054711247</v>
      </c>
      <c r="S293" s="16">
        <f t="shared" si="14"/>
        <v>0.06</v>
      </c>
    </row>
    <row r="294" spans="1:19">
      <c r="A294" s="1" t="s">
        <v>36</v>
      </c>
      <c r="B294" s="2" t="s">
        <v>27</v>
      </c>
      <c r="C294" s="3" t="s">
        <v>45</v>
      </c>
      <c r="D294" s="3" t="s">
        <v>51</v>
      </c>
      <c r="E294" s="2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4">
        <v>45200</v>
      </c>
      <c r="N294" s="5">
        <v>10</v>
      </c>
      <c r="O294" s="3" t="s">
        <v>39</v>
      </c>
      <c r="P294" s="6" t="s">
        <v>40</v>
      </c>
      <c r="Q294" s="14">
        <f t="shared" si="12"/>
        <v>45200</v>
      </c>
      <c r="R294" s="15">
        <f t="shared" si="13"/>
        <v>0.11347517730496454</v>
      </c>
      <c r="S294" s="16">
        <f t="shared" si="14"/>
        <v>0.06</v>
      </c>
    </row>
    <row r="295" spans="1:19">
      <c r="A295" s="1" t="s">
        <v>19</v>
      </c>
      <c r="B295" s="2" t="s">
        <v>27</v>
      </c>
      <c r="C295" s="3" t="s">
        <v>45</v>
      </c>
      <c r="D295" s="3" t="s">
        <v>51</v>
      </c>
      <c r="E295" s="2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4">
        <v>45200</v>
      </c>
      <c r="N295" s="5">
        <v>10</v>
      </c>
      <c r="O295" s="3" t="s">
        <v>39</v>
      </c>
      <c r="P295" s="6" t="s">
        <v>40</v>
      </c>
      <c r="Q295" s="14">
        <f t="shared" si="12"/>
        <v>45200</v>
      </c>
      <c r="R295" s="15">
        <f t="shared" si="13"/>
        <v>0.20972644376899696</v>
      </c>
      <c r="S295" s="16">
        <f t="shared" si="14"/>
        <v>0.06</v>
      </c>
    </row>
    <row r="296" spans="1:19">
      <c r="A296" s="1" t="s">
        <v>26</v>
      </c>
      <c r="B296" s="2" t="s">
        <v>20</v>
      </c>
      <c r="C296" s="3" t="s">
        <v>46</v>
      </c>
      <c r="D296" s="3" t="s">
        <v>51</v>
      </c>
      <c r="E296" s="2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11660.400000000001</v>
      </c>
      <c r="M296" s="4">
        <v>45444</v>
      </c>
      <c r="N296" s="5">
        <v>6</v>
      </c>
      <c r="O296" s="3" t="s">
        <v>28</v>
      </c>
      <c r="P296" s="6" t="s">
        <v>24</v>
      </c>
      <c r="Q296" s="14">
        <f t="shared" si="12"/>
        <v>45444</v>
      </c>
      <c r="R296" s="15">
        <f t="shared" si="13"/>
        <v>0.29078014184397166</v>
      </c>
      <c r="S296" s="16">
        <f t="shared" si="14"/>
        <v>0.06</v>
      </c>
    </row>
    <row r="297" spans="1:19">
      <c r="A297" s="1" t="s">
        <v>19</v>
      </c>
      <c r="B297" s="2" t="s">
        <v>29</v>
      </c>
      <c r="C297" s="3" t="s">
        <v>46</v>
      </c>
      <c r="D297" s="3" t="s">
        <v>51</v>
      </c>
      <c r="E297" s="2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4">
        <v>45444</v>
      </c>
      <c r="N297" s="5">
        <v>6</v>
      </c>
      <c r="O297" s="3" t="s">
        <v>28</v>
      </c>
      <c r="P297" s="6" t="s">
        <v>24</v>
      </c>
      <c r="Q297" s="14">
        <f t="shared" si="12"/>
        <v>45444</v>
      </c>
      <c r="R297" s="15">
        <f t="shared" si="13"/>
        <v>0.24012158054711247</v>
      </c>
      <c r="S297" s="16">
        <f t="shared" si="14"/>
        <v>0.06</v>
      </c>
    </row>
    <row r="298" spans="1:19">
      <c r="A298" s="1" t="s">
        <v>36</v>
      </c>
      <c r="B298" s="2" t="s">
        <v>27</v>
      </c>
      <c r="C298" s="3" t="s">
        <v>46</v>
      </c>
      <c r="D298" s="3" t="s">
        <v>51</v>
      </c>
      <c r="E298" s="2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4">
        <v>45200</v>
      </c>
      <c r="N298" s="5">
        <v>10</v>
      </c>
      <c r="O298" s="3" t="s">
        <v>39</v>
      </c>
      <c r="P298" s="6" t="s">
        <v>40</v>
      </c>
      <c r="Q298" s="14">
        <f t="shared" si="12"/>
        <v>45200</v>
      </c>
      <c r="R298" s="15">
        <f t="shared" si="13"/>
        <v>0.11347517730496454</v>
      </c>
      <c r="S298" s="16">
        <f t="shared" si="14"/>
        <v>0.06</v>
      </c>
    </row>
    <row r="299" spans="1:19">
      <c r="A299" s="1" t="s">
        <v>19</v>
      </c>
      <c r="B299" s="2" t="s">
        <v>29</v>
      </c>
      <c r="C299" s="3" t="s">
        <v>46</v>
      </c>
      <c r="D299" s="3" t="s">
        <v>51</v>
      </c>
      <c r="E299" s="2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9882.4000000000015</v>
      </c>
      <c r="M299" s="4">
        <v>45231</v>
      </c>
      <c r="N299" s="5">
        <v>11</v>
      </c>
      <c r="O299" s="3" t="s">
        <v>44</v>
      </c>
      <c r="P299" s="6" t="s">
        <v>40</v>
      </c>
      <c r="Q299" s="14">
        <f t="shared" si="12"/>
        <v>45231</v>
      </c>
      <c r="R299" s="15">
        <f t="shared" si="13"/>
        <v>0.46808510638297873</v>
      </c>
      <c r="S299" s="16">
        <f t="shared" si="14"/>
        <v>0.06</v>
      </c>
    </row>
    <row r="300" spans="1:19">
      <c r="A300" s="1" t="s">
        <v>36</v>
      </c>
      <c r="B300" s="2" t="s">
        <v>20</v>
      </c>
      <c r="C300" s="3" t="s">
        <v>46</v>
      </c>
      <c r="D300" s="3" t="s">
        <v>51</v>
      </c>
      <c r="E300" s="2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4">
        <v>45261</v>
      </c>
      <c r="N300" s="5">
        <v>12</v>
      </c>
      <c r="O300" s="3" t="s">
        <v>30</v>
      </c>
      <c r="P300" s="6" t="s">
        <v>40</v>
      </c>
      <c r="Q300" s="14">
        <f t="shared" si="12"/>
        <v>45261</v>
      </c>
      <c r="R300" s="15">
        <f t="shared" si="13"/>
        <v>0.11347517730496454</v>
      </c>
      <c r="S300" s="16">
        <f t="shared" si="14"/>
        <v>0.06</v>
      </c>
    </row>
    <row r="301" spans="1:19">
      <c r="A301" s="1" t="s">
        <v>34</v>
      </c>
      <c r="B301" s="2" t="s">
        <v>27</v>
      </c>
      <c r="C301" s="3" t="s">
        <v>48</v>
      </c>
      <c r="D301" s="3" t="s">
        <v>51</v>
      </c>
      <c r="E301" s="2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4">
        <v>45292</v>
      </c>
      <c r="N301" s="5">
        <v>1</v>
      </c>
      <c r="O301" s="3" t="s">
        <v>23</v>
      </c>
      <c r="P301" s="6" t="s">
        <v>24</v>
      </c>
      <c r="Q301" s="14">
        <f t="shared" si="12"/>
        <v>45292</v>
      </c>
      <c r="R301" s="15">
        <f t="shared" si="13"/>
        <v>-2.1276595744680851E-2</v>
      </c>
      <c r="S301" s="16">
        <f t="shared" si="14"/>
        <v>0.06</v>
      </c>
    </row>
    <row r="302" spans="1:19">
      <c r="A302" s="1" t="s">
        <v>19</v>
      </c>
      <c r="B302" s="2" t="s">
        <v>29</v>
      </c>
      <c r="C302" s="3" t="s">
        <v>48</v>
      </c>
      <c r="D302" s="3" t="s">
        <v>51</v>
      </c>
      <c r="E302" s="2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4">
        <v>45536</v>
      </c>
      <c r="N302" s="5">
        <v>9</v>
      </c>
      <c r="O302" s="3" t="s">
        <v>38</v>
      </c>
      <c r="P302" s="6" t="s">
        <v>24</v>
      </c>
      <c r="Q302" s="14">
        <f t="shared" si="12"/>
        <v>45536</v>
      </c>
      <c r="R302" s="15">
        <f t="shared" si="13"/>
        <v>0.20972644376899696</v>
      </c>
      <c r="S302" s="16">
        <f t="shared" si="14"/>
        <v>0.06</v>
      </c>
    </row>
    <row r="303" spans="1:19">
      <c r="A303" s="1" t="s">
        <v>19</v>
      </c>
      <c r="B303" s="2" t="s">
        <v>41</v>
      </c>
      <c r="C303" s="3" t="s">
        <v>48</v>
      </c>
      <c r="D303" s="3" t="s">
        <v>51</v>
      </c>
      <c r="E303" s="2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4">
        <v>45200</v>
      </c>
      <c r="N303" s="5">
        <v>10</v>
      </c>
      <c r="O303" s="3" t="s">
        <v>39</v>
      </c>
      <c r="P303" s="6" t="s">
        <v>40</v>
      </c>
      <c r="Q303" s="14">
        <f t="shared" si="12"/>
        <v>45200</v>
      </c>
      <c r="R303" s="15">
        <f t="shared" si="13"/>
        <v>0.20972644376899696</v>
      </c>
      <c r="S303" s="16">
        <f t="shared" si="14"/>
        <v>0.06</v>
      </c>
    </row>
    <row r="304" spans="1:19">
      <c r="A304" s="1" t="s">
        <v>19</v>
      </c>
      <c r="B304" s="2" t="s">
        <v>27</v>
      </c>
      <c r="C304" s="3" t="s">
        <v>48</v>
      </c>
      <c r="D304" s="3" t="s">
        <v>51</v>
      </c>
      <c r="E304" s="2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4">
        <v>45200</v>
      </c>
      <c r="N304" s="5">
        <v>10</v>
      </c>
      <c r="O304" s="3" t="s">
        <v>39</v>
      </c>
      <c r="P304" s="6" t="s">
        <v>40</v>
      </c>
      <c r="Q304" s="14">
        <f t="shared" si="12"/>
        <v>45200</v>
      </c>
      <c r="R304" s="15">
        <f t="shared" si="13"/>
        <v>0.24012158054711244</v>
      </c>
      <c r="S304" s="16">
        <f t="shared" si="14"/>
        <v>0.06</v>
      </c>
    </row>
    <row r="305" spans="1:19">
      <c r="A305" s="1" t="s">
        <v>19</v>
      </c>
      <c r="B305" s="2" t="s">
        <v>27</v>
      </c>
      <c r="C305" s="3" t="s">
        <v>48</v>
      </c>
      <c r="D305" s="3" t="s">
        <v>51</v>
      </c>
      <c r="E305" s="2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4">
        <v>45200</v>
      </c>
      <c r="N305" s="5">
        <v>10</v>
      </c>
      <c r="O305" s="3" t="s">
        <v>39</v>
      </c>
      <c r="P305" s="6" t="s">
        <v>40</v>
      </c>
      <c r="Q305" s="14">
        <f t="shared" si="12"/>
        <v>45200</v>
      </c>
      <c r="R305" s="15">
        <f t="shared" si="13"/>
        <v>0.20972644376899696</v>
      </c>
      <c r="S305" s="16">
        <f t="shared" si="14"/>
        <v>0.06</v>
      </c>
    </row>
    <row r="306" spans="1:19">
      <c r="A306" s="1" t="s">
        <v>19</v>
      </c>
      <c r="B306" s="2" t="s">
        <v>27</v>
      </c>
      <c r="C306" s="3" t="s">
        <v>31</v>
      </c>
      <c r="D306" s="3" t="s">
        <v>51</v>
      </c>
      <c r="E306" s="2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15461.599999999999</v>
      </c>
      <c r="M306" s="4">
        <v>45200</v>
      </c>
      <c r="N306" s="5">
        <v>10</v>
      </c>
      <c r="O306" s="3" t="s">
        <v>39</v>
      </c>
      <c r="P306" s="6" t="s">
        <v>40</v>
      </c>
      <c r="Q306" s="14">
        <f t="shared" si="12"/>
        <v>45200</v>
      </c>
      <c r="R306" s="15">
        <f t="shared" si="13"/>
        <v>0.46808510638297868</v>
      </c>
      <c r="S306" s="16">
        <f t="shared" si="14"/>
        <v>6.0000000000000005E-2</v>
      </c>
    </row>
    <row r="307" spans="1:19">
      <c r="A307" s="1" t="s">
        <v>26</v>
      </c>
      <c r="B307" s="2" t="s">
        <v>41</v>
      </c>
      <c r="C307" s="3" t="s">
        <v>42</v>
      </c>
      <c r="D307" s="3" t="s">
        <v>51</v>
      </c>
      <c r="E307" s="2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4">
        <v>45505</v>
      </c>
      <c r="N307" s="5">
        <v>8</v>
      </c>
      <c r="O307" s="3" t="s">
        <v>37</v>
      </c>
      <c r="P307" s="6" t="s">
        <v>24</v>
      </c>
      <c r="Q307" s="14">
        <f t="shared" si="12"/>
        <v>45505</v>
      </c>
      <c r="R307" s="15">
        <f t="shared" si="13"/>
        <v>0.29078014184397161</v>
      </c>
      <c r="S307" s="16">
        <f t="shared" si="14"/>
        <v>6.0000000000000005E-2</v>
      </c>
    </row>
    <row r="308" spans="1:19">
      <c r="A308" s="1" t="s">
        <v>26</v>
      </c>
      <c r="B308" s="2" t="s">
        <v>25</v>
      </c>
      <c r="C308" s="3" t="s">
        <v>42</v>
      </c>
      <c r="D308" s="3" t="s">
        <v>51</v>
      </c>
      <c r="E308" s="2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7146.2999999999993</v>
      </c>
      <c r="M308" s="4">
        <v>45505</v>
      </c>
      <c r="N308" s="5">
        <v>8</v>
      </c>
      <c r="O308" s="3" t="s">
        <v>37</v>
      </c>
      <c r="P308" s="6" t="s">
        <v>24</v>
      </c>
      <c r="Q308" s="14">
        <f t="shared" si="12"/>
        <v>45505</v>
      </c>
      <c r="R308" s="15">
        <f t="shared" si="13"/>
        <v>0.29078014184397161</v>
      </c>
      <c r="S308" s="16">
        <f t="shared" si="14"/>
        <v>6.0000000000000005E-2</v>
      </c>
    </row>
    <row r="309" spans="1:19">
      <c r="A309" s="1" t="s">
        <v>26</v>
      </c>
      <c r="B309" s="2" t="s">
        <v>41</v>
      </c>
      <c r="C309" s="3" t="s">
        <v>42</v>
      </c>
      <c r="D309" s="3" t="s">
        <v>51</v>
      </c>
      <c r="E309" s="2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4727.2999999999993</v>
      </c>
      <c r="M309" s="4">
        <v>45566</v>
      </c>
      <c r="N309" s="5">
        <v>10</v>
      </c>
      <c r="O309" s="3" t="s">
        <v>39</v>
      </c>
      <c r="P309" s="6" t="s">
        <v>24</v>
      </c>
      <c r="Q309" s="14">
        <f t="shared" si="12"/>
        <v>45566</v>
      </c>
      <c r="R309" s="15">
        <f t="shared" si="13"/>
        <v>0.29078014184397161</v>
      </c>
      <c r="S309" s="16">
        <f t="shared" si="14"/>
        <v>6.0000000000000005E-2</v>
      </c>
    </row>
    <row r="310" spans="1:19">
      <c r="A310" s="1" t="s">
        <v>19</v>
      </c>
      <c r="B310" s="2" t="s">
        <v>27</v>
      </c>
      <c r="C310" s="3" t="s">
        <v>42</v>
      </c>
      <c r="D310" s="3" t="s">
        <v>51</v>
      </c>
      <c r="E310" s="2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15461.599999999999</v>
      </c>
      <c r="M310" s="4">
        <v>45200</v>
      </c>
      <c r="N310" s="5">
        <v>10</v>
      </c>
      <c r="O310" s="3" t="s">
        <v>39</v>
      </c>
      <c r="P310" s="6" t="s">
        <v>40</v>
      </c>
      <c r="Q310" s="14">
        <f t="shared" si="12"/>
        <v>45200</v>
      </c>
      <c r="R310" s="15">
        <f t="shared" si="13"/>
        <v>0.46808510638297868</v>
      </c>
      <c r="S310" s="16">
        <f t="shared" si="14"/>
        <v>6.0000000000000005E-2</v>
      </c>
    </row>
    <row r="311" spans="1:19">
      <c r="A311" s="1" t="s">
        <v>19</v>
      </c>
      <c r="B311" s="2" t="s">
        <v>25</v>
      </c>
      <c r="C311" s="3" t="s">
        <v>45</v>
      </c>
      <c r="D311" s="3" t="s">
        <v>51</v>
      </c>
      <c r="E311" s="2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4">
        <v>45505</v>
      </c>
      <c r="N311" s="5">
        <v>8</v>
      </c>
      <c r="O311" s="3" t="s">
        <v>37</v>
      </c>
      <c r="P311" s="6" t="s">
        <v>24</v>
      </c>
      <c r="Q311" s="14">
        <f t="shared" si="12"/>
        <v>45505</v>
      </c>
      <c r="R311" s="15">
        <f t="shared" si="13"/>
        <v>0.46808510638297868</v>
      </c>
      <c r="S311" s="16">
        <f t="shared" si="14"/>
        <v>6.0000000000000005E-2</v>
      </c>
    </row>
    <row r="312" spans="1:19">
      <c r="A312" s="1" t="s">
        <v>19</v>
      </c>
      <c r="B312" s="2" t="s">
        <v>29</v>
      </c>
      <c r="C312" s="3" t="s">
        <v>45</v>
      </c>
      <c r="D312" s="3" t="s">
        <v>51</v>
      </c>
      <c r="E312" s="2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2106.1399999999994</v>
      </c>
      <c r="M312" s="4">
        <v>45597</v>
      </c>
      <c r="N312" s="5">
        <v>11</v>
      </c>
      <c r="O312" s="3" t="s">
        <v>44</v>
      </c>
      <c r="P312" s="6" t="s">
        <v>24</v>
      </c>
      <c r="Q312" s="14">
        <f t="shared" si="12"/>
        <v>45597</v>
      </c>
      <c r="R312" s="15">
        <f t="shared" si="13"/>
        <v>0.24012158054711241</v>
      </c>
      <c r="S312" s="16">
        <f t="shared" si="14"/>
        <v>6.0000000000000005E-2</v>
      </c>
    </row>
    <row r="313" spans="1:19">
      <c r="A313" s="1" t="s">
        <v>26</v>
      </c>
      <c r="B313" s="2" t="s">
        <v>41</v>
      </c>
      <c r="C313" s="3" t="s">
        <v>46</v>
      </c>
      <c r="D313" s="3" t="s">
        <v>51</v>
      </c>
      <c r="E313" s="2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4727.2999999999993</v>
      </c>
      <c r="M313" s="4">
        <v>45566</v>
      </c>
      <c r="N313" s="5">
        <v>10</v>
      </c>
      <c r="O313" s="3" t="s">
        <v>39</v>
      </c>
      <c r="P313" s="6" t="s">
        <v>24</v>
      </c>
      <c r="Q313" s="14">
        <f t="shared" si="12"/>
        <v>45566</v>
      </c>
      <c r="R313" s="15">
        <f t="shared" si="13"/>
        <v>0.29078014184397161</v>
      </c>
      <c r="S313" s="16">
        <f t="shared" si="14"/>
        <v>6.0000000000000005E-2</v>
      </c>
    </row>
    <row r="314" spans="1:19">
      <c r="A314" s="1" t="s">
        <v>33</v>
      </c>
      <c r="B314" s="2" t="s">
        <v>29</v>
      </c>
      <c r="C314" s="3" t="s">
        <v>21</v>
      </c>
      <c r="D314" s="3" t="s">
        <v>51</v>
      </c>
      <c r="E314" s="2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4">
        <v>45323</v>
      </c>
      <c r="N314" s="5">
        <v>2</v>
      </c>
      <c r="O314" s="3" t="s">
        <v>43</v>
      </c>
      <c r="P314" s="6" t="s">
        <v>24</v>
      </c>
      <c r="Q314" s="14">
        <f t="shared" si="12"/>
        <v>45323</v>
      </c>
      <c r="R314" s="15">
        <f t="shared" si="13"/>
        <v>0.73118279569892475</v>
      </c>
      <c r="S314" s="16">
        <f t="shared" si="14"/>
        <v>6.9999999999999993E-2</v>
      </c>
    </row>
    <row r="315" spans="1:19">
      <c r="A315" s="1" t="s">
        <v>33</v>
      </c>
      <c r="B315" s="2" t="s">
        <v>20</v>
      </c>
      <c r="C315" s="3" t="s">
        <v>21</v>
      </c>
      <c r="D315" s="3" t="s">
        <v>51</v>
      </c>
      <c r="E315" s="2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15373.439999999999</v>
      </c>
      <c r="M315" s="4">
        <v>45505</v>
      </c>
      <c r="N315" s="5">
        <v>8</v>
      </c>
      <c r="O315" s="3" t="s">
        <v>37</v>
      </c>
      <c r="P315" s="6" t="s">
        <v>24</v>
      </c>
      <c r="Q315" s="14">
        <f t="shared" si="12"/>
        <v>45505</v>
      </c>
      <c r="R315" s="15">
        <f t="shared" si="13"/>
        <v>0.73118279569892475</v>
      </c>
      <c r="S315" s="16">
        <f t="shared" si="14"/>
        <v>6.9999999999999993E-2</v>
      </c>
    </row>
    <row r="316" spans="1:19">
      <c r="A316" s="1" t="s">
        <v>19</v>
      </c>
      <c r="B316" s="2" t="s">
        <v>29</v>
      </c>
      <c r="C316" s="3" t="s">
        <v>21</v>
      </c>
      <c r="D316" s="3" t="s">
        <v>51</v>
      </c>
      <c r="E316" s="2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15772.400000000001</v>
      </c>
      <c r="M316" s="4">
        <v>45170</v>
      </c>
      <c r="N316" s="5">
        <v>9</v>
      </c>
      <c r="O316" s="3" t="s">
        <v>38</v>
      </c>
      <c r="P316" s="6" t="s">
        <v>40</v>
      </c>
      <c r="Q316" s="14">
        <f t="shared" si="12"/>
        <v>45170</v>
      </c>
      <c r="R316" s="15">
        <f t="shared" si="13"/>
        <v>0.4623655913978495</v>
      </c>
      <c r="S316" s="16">
        <f t="shared" si="14"/>
        <v>6.9999999999999993E-2</v>
      </c>
    </row>
    <row r="317" spans="1:19">
      <c r="A317" s="1" t="s">
        <v>33</v>
      </c>
      <c r="B317" s="2" t="s">
        <v>29</v>
      </c>
      <c r="C317" s="3" t="s">
        <v>31</v>
      </c>
      <c r="D317" s="3" t="s">
        <v>51</v>
      </c>
      <c r="E317" s="2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4">
        <v>45292</v>
      </c>
      <c r="N317" s="5">
        <v>1</v>
      </c>
      <c r="O317" s="3" t="s">
        <v>23</v>
      </c>
      <c r="P317" s="6" t="s">
        <v>24</v>
      </c>
      <c r="Q317" s="14">
        <f t="shared" si="12"/>
        <v>45292</v>
      </c>
      <c r="R317" s="15">
        <f t="shared" si="13"/>
        <v>0.73118279569892475</v>
      </c>
      <c r="S317" s="16">
        <f t="shared" si="14"/>
        <v>6.9999999999999993E-2</v>
      </c>
    </row>
    <row r="318" spans="1:19">
      <c r="A318" s="1" t="s">
        <v>33</v>
      </c>
      <c r="B318" s="2" t="s">
        <v>27</v>
      </c>
      <c r="C318" s="3" t="s">
        <v>31</v>
      </c>
      <c r="D318" s="3" t="s">
        <v>51</v>
      </c>
      <c r="E318" s="2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4">
        <v>45597</v>
      </c>
      <c r="N318" s="5">
        <v>11</v>
      </c>
      <c r="O318" s="3" t="s">
        <v>44</v>
      </c>
      <c r="P318" s="6" t="s">
        <v>24</v>
      </c>
      <c r="Q318" s="14">
        <f t="shared" si="12"/>
        <v>45597</v>
      </c>
      <c r="R318" s="15">
        <f t="shared" si="13"/>
        <v>0.73118279569892475</v>
      </c>
      <c r="S318" s="16">
        <f t="shared" si="14"/>
        <v>6.9999999999999993E-2</v>
      </c>
    </row>
    <row r="319" spans="1:19">
      <c r="A319" s="1" t="s">
        <v>19</v>
      </c>
      <c r="B319" s="2" t="s">
        <v>27</v>
      </c>
      <c r="C319" s="3" t="s">
        <v>42</v>
      </c>
      <c r="D319" s="3" t="s">
        <v>51</v>
      </c>
      <c r="E319" s="2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1556.8100000000004</v>
      </c>
      <c r="M319" s="4">
        <v>45170</v>
      </c>
      <c r="N319" s="5">
        <v>9</v>
      </c>
      <c r="O319" s="3" t="s">
        <v>38</v>
      </c>
      <c r="P319" s="6" t="s">
        <v>40</v>
      </c>
      <c r="Q319" s="14">
        <f t="shared" si="12"/>
        <v>45170</v>
      </c>
      <c r="R319" s="15">
        <f t="shared" si="13"/>
        <v>0.23195084485407072</v>
      </c>
      <c r="S319" s="16">
        <f t="shared" si="14"/>
        <v>6.9999999999999993E-2</v>
      </c>
    </row>
    <row r="320" spans="1:19">
      <c r="A320" s="1" t="s">
        <v>26</v>
      </c>
      <c r="B320" s="2" t="s">
        <v>20</v>
      </c>
      <c r="C320" s="3" t="s">
        <v>45</v>
      </c>
      <c r="D320" s="3" t="s">
        <v>51</v>
      </c>
      <c r="E320" s="2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4984.9000000000015</v>
      </c>
      <c r="M320" s="4">
        <v>45413</v>
      </c>
      <c r="N320" s="5">
        <v>5</v>
      </c>
      <c r="O320" s="3" t="s">
        <v>50</v>
      </c>
      <c r="P320" s="6" t="s">
        <v>24</v>
      </c>
      <c r="Q320" s="14">
        <f t="shared" si="12"/>
        <v>45413</v>
      </c>
      <c r="R320" s="15">
        <f t="shared" si="13"/>
        <v>0.28315412186379935</v>
      </c>
      <c r="S320" s="16">
        <f t="shared" si="14"/>
        <v>6.9999999999999993E-2</v>
      </c>
    </row>
    <row r="321" spans="1:19">
      <c r="A321" s="1" t="s">
        <v>19</v>
      </c>
      <c r="B321" s="2" t="s">
        <v>20</v>
      </c>
      <c r="C321" s="3" t="s">
        <v>45</v>
      </c>
      <c r="D321" s="3" t="s">
        <v>51</v>
      </c>
      <c r="E321" s="2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1713.8500000000004</v>
      </c>
      <c r="M321" s="4">
        <v>45444</v>
      </c>
      <c r="N321" s="5">
        <v>6</v>
      </c>
      <c r="O321" s="3" t="s">
        <v>28</v>
      </c>
      <c r="P321" s="6" t="s">
        <v>24</v>
      </c>
      <c r="Q321" s="14">
        <f t="shared" si="12"/>
        <v>45444</v>
      </c>
      <c r="R321" s="15">
        <f t="shared" si="13"/>
        <v>0.23195084485407069</v>
      </c>
      <c r="S321" s="16">
        <f t="shared" si="14"/>
        <v>6.9999999999999993E-2</v>
      </c>
    </row>
    <row r="322" spans="1:19">
      <c r="A322" s="1" t="s">
        <v>19</v>
      </c>
      <c r="B322" s="2" t="s">
        <v>41</v>
      </c>
      <c r="C322" s="3" t="s">
        <v>45</v>
      </c>
      <c r="D322" s="3" t="s">
        <v>51</v>
      </c>
      <c r="E322" s="2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3560.9700000000003</v>
      </c>
      <c r="K322" s="3">
        <v>2735</v>
      </c>
      <c r="L322" s="3">
        <v>825.97000000000025</v>
      </c>
      <c r="M322" s="4">
        <v>45597</v>
      </c>
      <c r="N322" s="5">
        <v>11</v>
      </c>
      <c r="O322" s="3" t="s">
        <v>44</v>
      </c>
      <c r="P322" s="6" t="s">
        <v>24</v>
      </c>
      <c r="Q322" s="14">
        <f t="shared" ref="Q322:Q385" si="15">DATE($P322,$N322,1)</f>
        <v>45597</v>
      </c>
      <c r="R322" s="15">
        <f t="shared" ref="R322:R385" si="16">IFERROR($L322/$J322,0)</f>
        <v>0.23195084485407072</v>
      </c>
      <c r="S322" s="16">
        <f t="shared" ref="S322:S385" si="17">IFERROR($I322/$H322,0)</f>
        <v>6.9999999999999993E-2</v>
      </c>
    </row>
    <row r="323" spans="1:19">
      <c r="A323" s="1" t="s">
        <v>19</v>
      </c>
      <c r="B323" s="2" t="s">
        <v>20</v>
      </c>
      <c r="C323" s="3" t="s">
        <v>45</v>
      </c>
      <c r="D323" s="3" t="s">
        <v>51</v>
      </c>
      <c r="E323" s="2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2388.8199999999997</v>
      </c>
      <c r="M323" s="4">
        <v>45627</v>
      </c>
      <c r="N323" s="5">
        <v>12</v>
      </c>
      <c r="O323" s="3" t="s">
        <v>30</v>
      </c>
      <c r="P323" s="6" t="s">
        <v>24</v>
      </c>
      <c r="Q323" s="14">
        <f t="shared" si="15"/>
        <v>45627</v>
      </c>
      <c r="R323" s="15">
        <f t="shared" si="16"/>
        <v>0.23195084485407064</v>
      </c>
      <c r="S323" s="16">
        <f t="shared" si="17"/>
        <v>6.9999999999999993E-2</v>
      </c>
    </row>
    <row r="324" spans="1:19">
      <c r="A324" s="1" t="s">
        <v>33</v>
      </c>
      <c r="B324" s="2" t="s">
        <v>27</v>
      </c>
      <c r="C324" s="3" t="s">
        <v>46</v>
      </c>
      <c r="D324" s="3" t="s">
        <v>51</v>
      </c>
      <c r="E324" s="2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4">
        <v>45383</v>
      </c>
      <c r="N324" s="5">
        <v>4</v>
      </c>
      <c r="O324" s="3" t="s">
        <v>47</v>
      </c>
      <c r="P324" s="6" t="s">
        <v>24</v>
      </c>
      <c r="Q324" s="14">
        <f t="shared" si="15"/>
        <v>45383</v>
      </c>
      <c r="R324" s="15">
        <f t="shared" si="16"/>
        <v>0.73118279569892475</v>
      </c>
      <c r="S324" s="16">
        <f t="shared" si="17"/>
        <v>6.9999999999999993E-2</v>
      </c>
    </row>
    <row r="325" spans="1:19">
      <c r="A325" s="1" t="s">
        <v>33</v>
      </c>
      <c r="B325" s="2" t="s">
        <v>25</v>
      </c>
      <c r="C325" s="3" t="s">
        <v>46</v>
      </c>
      <c r="D325" s="3" t="s">
        <v>51</v>
      </c>
      <c r="E325" s="2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4">
        <v>45170</v>
      </c>
      <c r="N325" s="5">
        <v>9</v>
      </c>
      <c r="O325" s="3" t="s">
        <v>38</v>
      </c>
      <c r="P325" s="6" t="s">
        <v>40</v>
      </c>
      <c r="Q325" s="14">
        <f t="shared" si="15"/>
        <v>45170</v>
      </c>
      <c r="R325" s="15">
        <f t="shared" si="16"/>
        <v>0.73118279569892475</v>
      </c>
      <c r="S325" s="16">
        <f t="shared" si="17"/>
        <v>6.9999999999999993E-2</v>
      </c>
    </row>
    <row r="326" spans="1:19">
      <c r="A326" s="1" t="s">
        <v>19</v>
      </c>
      <c r="B326" s="2" t="s">
        <v>20</v>
      </c>
      <c r="C326" s="3" t="s">
        <v>46</v>
      </c>
      <c r="D326" s="3" t="s">
        <v>51</v>
      </c>
      <c r="E326" s="2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2388.8199999999997</v>
      </c>
      <c r="M326" s="4">
        <v>45627</v>
      </c>
      <c r="N326" s="5">
        <v>12</v>
      </c>
      <c r="O326" s="3" t="s">
        <v>30</v>
      </c>
      <c r="P326" s="6" t="s">
        <v>24</v>
      </c>
      <c r="Q326" s="14">
        <f t="shared" si="15"/>
        <v>45627</v>
      </c>
      <c r="R326" s="15">
        <f t="shared" si="16"/>
        <v>0.23195084485407064</v>
      </c>
      <c r="S326" s="16">
        <f t="shared" si="17"/>
        <v>6.9999999999999993E-2</v>
      </c>
    </row>
    <row r="327" spans="1:19">
      <c r="A327" s="1" t="s">
        <v>19</v>
      </c>
      <c r="B327" s="2" t="s">
        <v>20</v>
      </c>
      <c r="C327" s="3" t="s">
        <v>48</v>
      </c>
      <c r="D327" s="3" t="s">
        <v>51</v>
      </c>
      <c r="E327" s="2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1713.8500000000004</v>
      </c>
      <c r="M327" s="4">
        <v>45444</v>
      </c>
      <c r="N327" s="5">
        <v>6</v>
      </c>
      <c r="O327" s="3" t="s">
        <v>28</v>
      </c>
      <c r="P327" s="6" t="s">
        <v>24</v>
      </c>
      <c r="Q327" s="14">
        <f t="shared" si="15"/>
        <v>45444</v>
      </c>
      <c r="R327" s="15">
        <f t="shared" si="16"/>
        <v>0.23195084485407069</v>
      </c>
      <c r="S327" s="16">
        <f t="shared" si="17"/>
        <v>6.9999999999999993E-2</v>
      </c>
    </row>
    <row r="328" spans="1:19">
      <c r="A328" s="1" t="s">
        <v>19</v>
      </c>
      <c r="B328" s="2" t="s">
        <v>41</v>
      </c>
      <c r="C328" s="3" t="s">
        <v>21</v>
      </c>
      <c r="D328" s="3" t="s">
        <v>51</v>
      </c>
      <c r="E328" s="2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4">
        <v>45352</v>
      </c>
      <c r="N328" s="5">
        <v>3</v>
      </c>
      <c r="O328" s="3" t="s">
        <v>32</v>
      </c>
      <c r="P328" s="6" t="s">
        <v>24</v>
      </c>
      <c r="Q328" s="14">
        <f t="shared" si="15"/>
        <v>45352</v>
      </c>
      <c r="R328" s="15">
        <f t="shared" si="16"/>
        <v>0.20122887864823349</v>
      </c>
      <c r="S328" s="16">
        <f t="shared" si="17"/>
        <v>7.0000000000000007E-2</v>
      </c>
    </row>
    <row r="329" spans="1:19">
      <c r="A329" s="1" t="s">
        <v>36</v>
      </c>
      <c r="B329" s="2" t="s">
        <v>27</v>
      </c>
      <c r="C329" s="3" t="s">
        <v>21</v>
      </c>
      <c r="D329" s="3" t="s">
        <v>51</v>
      </c>
      <c r="E329" s="2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4">
        <v>45444</v>
      </c>
      <c r="N329" s="5">
        <v>6</v>
      </c>
      <c r="O329" s="3" t="s">
        <v>28</v>
      </c>
      <c r="P329" s="6" t="s">
        <v>24</v>
      </c>
      <c r="Q329" s="14">
        <f t="shared" si="15"/>
        <v>45444</v>
      </c>
      <c r="R329" s="15">
        <f t="shared" si="16"/>
        <v>0.1039426523297491</v>
      </c>
      <c r="S329" s="16">
        <f t="shared" si="17"/>
        <v>7.0000000000000007E-2</v>
      </c>
    </row>
    <row r="330" spans="1:19">
      <c r="A330" s="1" t="s">
        <v>36</v>
      </c>
      <c r="B330" s="2" t="s">
        <v>27</v>
      </c>
      <c r="C330" s="3" t="s">
        <v>21</v>
      </c>
      <c r="D330" s="3" t="s">
        <v>51</v>
      </c>
      <c r="E330" s="2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4">
        <v>45566</v>
      </c>
      <c r="N330" s="5">
        <v>10</v>
      </c>
      <c r="O330" s="3" t="s">
        <v>39</v>
      </c>
      <c r="P330" s="6" t="s">
        <v>24</v>
      </c>
      <c r="Q330" s="14">
        <f t="shared" si="15"/>
        <v>45566</v>
      </c>
      <c r="R330" s="15">
        <f t="shared" si="16"/>
        <v>0.1039426523297491</v>
      </c>
      <c r="S330" s="16">
        <f t="shared" si="17"/>
        <v>7.0000000000000007E-2</v>
      </c>
    </row>
    <row r="331" spans="1:19">
      <c r="A331" s="1" t="s">
        <v>19</v>
      </c>
      <c r="B331" s="2" t="s">
        <v>27</v>
      </c>
      <c r="C331" s="3" t="s">
        <v>31</v>
      </c>
      <c r="D331" s="3" t="s">
        <v>51</v>
      </c>
      <c r="E331" s="2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4">
        <v>45566</v>
      </c>
      <c r="N331" s="5">
        <v>10</v>
      </c>
      <c r="O331" s="3" t="s">
        <v>39</v>
      </c>
      <c r="P331" s="6" t="s">
        <v>24</v>
      </c>
      <c r="Q331" s="14">
        <f t="shared" si="15"/>
        <v>45566</v>
      </c>
      <c r="R331" s="15">
        <f t="shared" si="16"/>
        <v>0.46236559139784944</v>
      </c>
      <c r="S331" s="16">
        <f t="shared" si="17"/>
        <v>7.0000000000000007E-2</v>
      </c>
    </row>
    <row r="332" spans="1:19">
      <c r="A332" s="1" t="s">
        <v>36</v>
      </c>
      <c r="B332" s="2" t="s">
        <v>27</v>
      </c>
      <c r="C332" s="3" t="s">
        <v>31</v>
      </c>
      <c r="D332" s="3" t="s">
        <v>51</v>
      </c>
      <c r="E332" s="2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4">
        <v>45566</v>
      </c>
      <c r="N332" s="5">
        <v>10</v>
      </c>
      <c r="O332" s="3" t="s">
        <v>39</v>
      </c>
      <c r="P332" s="6" t="s">
        <v>24</v>
      </c>
      <c r="Q332" s="14">
        <f t="shared" si="15"/>
        <v>45566</v>
      </c>
      <c r="R332" s="15">
        <f t="shared" si="16"/>
        <v>0.1039426523297491</v>
      </c>
      <c r="S332" s="16">
        <f t="shared" si="17"/>
        <v>7.0000000000000007E-2</v>
      </c>
    </row>
    <row r="333" spans="1:19">
      <c r="A333" s="1" t="s">
        <v>34</v>
      </c>
      <c r="B333" s="2" t="s">
        <v>25</v>
      </c>
      <c r="C333" s="3" t="s">
        <v>31</v>
      </c>
      <c r="D333" s="3" t="s">
        <v>51</v>
      </c>
      <c r="E333" s="2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4">
        <v>45231</v>
      </c>
      <c r="N333" s="5">
        <v>11</v>
      </c>
      <c r="O333" s="3" t="s">
        <v>44</v>
      </c>
      <c r="P333" s="6" t="s">
        <v>40</v>
      </c>
      <c r="Q333" s="14">
        <f t="shared" si="15"/>
        <v>45231</v>
      </c>
      <c r="R333" s="15">
        <f t="shared" si="16"/>
        <v>-3.2258064516129031E-2</v>
      </c>
      <c r="S333" s="16">
        <f t="shared" si="17"/>
        <v>7.0000000000000007E-2</v>
      </c>
    </row>
    <row r="334" spans="1:19">
      <c r="A334" s="1" t="s">
        <v>36</v>
      </c>
      <c r="B334" s="2" t="s">
        <v>20</v>
      </c>
      <c r="C334" s="3" t="s">
        <v>42</v>
      </c>
      <c r="D334" s="3" t="s">
        <v>51</v>
      </c>
      <c r="E334" s="2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4">
        <v>45413</v>
      </c>
      <c r="N334" s="5">
        <v>5</v>
      </c>
      <c r="O334" s="3" t="s">
        <v>50</v>
      </c>
      <c r="P334" s="6" t="s">
        <v>24</v>
      </c>
      <c r="Q334" s="14">
        <f t="shared" si="15"/>
        <v>45413</v>
      </c>
      <c r="R334" s="15">
        <f t="shared" si="16"/>
        <v>0.1039426523297491</v>
      </c>
      <c r="S334" s="16">
        <f t="shared" si="17"/>
        <v>7.0000000000000007E-2</v>
      </c>
    </row>
    <row r="335" spans="1:19">
      <c r="A335" s="1" t="s">
        <v>36</v>
      </c>
      <c r="B335" s="2" t="s">
        <v>27</v>
      </c>
      <c r="C335" s="3" t="s">
        <v>42</v>
      </c>
      <c r="D335" s="3" t="s">
        <v>51</v>
      </c>
      <c r="E335" s="2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4">
        <v>45444</v>
      </c>
      <c r="N335" s="5">
        <v>6</v>
      </c>
      <c r="O335" s="3" t="s">
        <v>28</v>
      </c>
      <c r="P335" s="6" t="s">
        <v>24</v>
      </c>
      <c r="Q335" s="14">
        <f t="shared" si="15"/>
        <v>45444</v>
      </c>
      <c r="R335" s="15">
        <f t="shared" si="16"/>
        <v>0.1039426523297491</v>
      </c>
      <c r="S335" s="16">
        <f t="shared" si="17"/>
        <v>7.0000000000000007E-2</v>
      </c>
    </row>
    <row r="336" spans="1:19">
      <c r="A336" s="1" t="s">
        <v>34</v>
      </c>
      <c r="B336" s="2" t="s">
        <v>25</v>
      </c>
      <c r="C336" s="3" t="s">
        <v>42</v>
      </c>
      <c r="D336" s="3" t="s">
        <v>51</v>
      </c>
      <c r="E336" s="2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4">
        <v>45474</v>
      </c>
      <c r="N336" s="5">
        <v>7</v>
      </c>
      <c r="O336" s="3" t="s">
        <v>35</v>
      </c>
      <c r="P336" s="6" t="s">
        <v>24</v>
      </c>
      <c r="Q336" s="14">
        <f t="shared" si="15"/>
        <v>45474</v>
      </c>
      <c r="R336" s="15">
        <f t="shared" si="16"/>
        <v>-3.2258064516129031E-2</v>
      </c>
      <c r="S336" s="16">
        <f t="shared" si="17"/>
        <v>7.0000000000000007E-2</v>
      </c>
    </row>
    <row r="337" spans="1:19">
      <c r="A337" s="1" t="s">
        <v>26</v>
      </c>
      <c r="B337" s="2" t="s">
        <v>27</v>
      </c>
      <c r="C337" s="3" t="s">
        <v>42</v>
      </c>
      <c r="D337" s="3" t="s">
        <v>51</v>
      </c>
      <c r="E337" s="2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4">
        <v>45505</v>
      </c>
      <c r="N337" s="5">
        <v>8</v>
      </c>
      <c r="O337" s="3" t="s">
        <v>37</v>
      </c>
      <c r="P337" s="6" t="s">
        <v>24</v>
      </c>
      <c r="Q337" s="14">
        <f t="shared" si="15"/>
        <v>45505</v>
      </c>
      <c r="R337" s="15">
        <f t="shared" si="16"/>
        <v>0.28315412186379929</v>
      </c>
      <c r="S337" s="16">
        <f t="shared" si="17"/>
        <v>7.0000000000000007E-2</v>
      </c>
    </row>
    <row r="338" spans="1:19">
      <c r="A338" s="1" t="s">
        <v>26</v>
      </c>
      <c r="B338" s="2" t="s">
        <v>41</v>
      </c>
      <c r="C338" s="3" t="s">
        <v>42</v>
      </c>
      <c r="D338" s="3" t="s">
        <v>51</v>
      </c>
      <c r="E338" s="2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11577.449999999997</v>
      </c>
      <c r="M338" s="4">
        <v>45170</v>
      </c>
      <c r="N338" s="5">
        <v>9</v>
      </c>
      <c r="O338" s="3" t="s">
        <v>38</v>
      </c>
      <c r="P338" s="6" t="s">
        <v>40</v>
      </c>
      <c r="Q338" s="14">
        <f t="shared" si="15"/>
        <v>45170</v>
      </c>
      <c r="R338" s="15">
        <f t="shared" si="16"/>
        <v>0.28315412186379924</v>
      </c>
      <c r="S338" s="16">
        <f t="shared" si="17"/>
        <v>7.0000000000000007E-2</v>
      </c>
    </row>
    <row r="339" spans="1:19">
      <c r="A339" s="1" t="s">
        <v>19</v>
      </c>
      <c r="B339" s="2" t="s">
        <v>27</v>
      </c>
      <c r="C339" s="3" t="s">
        <v>42</v>
      </c>
      <c r="D339" s="3" t="s">
        <v>51</v>
      </c>
      <c r="E339" s="2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4">
        <v>45536</v>
      </c>
      <c r="N339" s="5">
        <v>9</v>
      </c>
      <c r="O339" s="3" t="s">
        <v>38</v>
      </c>
      <c r="P339" s="6" t="s">
        <v>24</v>
      </c>
      <c r="Q339" s="14">
        <f t="shared" si="15"/>
        <v>45536</v>
      </c>
      <c r="R339" s="15">
        <f t="shared" si="16"/>
        <v>0.46236559139784944</v>
      </c>
      <c r="S339" s="16">
        <f t="shared" si="17"/>
        <v>7.0000000000000007E-2</v>
      </c>
    </row>
    <row r="340" spans="1:19">
      <c r="A340" s="1" t="s">
        <v>36</v>
      </c>
      <c r="B340" s="2" t="s">
        <v>25</v>
      </c>
      <c r="C340" s="3" t="s">
        <v>42</v>
      </c>
      <c r="D340" s="3" t="s">
        <v>51</v>
      </c>
      <c r="E340" s="2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4">
        <v>45170</v>
      </c>
      <c r="N340" s="5">
        <v>9</v>
      </c>
      <c r="O340" s="3" t="s">
        <v>38</v>
      </c>
      <c r="P340" s="6" t="s">
        <v>40</v>
      </c>
      <c r="Q340" s="14">
        <f t="shared" si="15"/>
        <v>45170</v>
      </c>
      <c r="R340" s="15">
        <f t="shared" si="16"/>
        <v>0.1039426523297491</v>
      </c>
      <c r="S340" s="16">
        <f t="shared" si="17"/>
        <v>7.0000000000000007E-2</v>
      </c>
    </row>
    <row r="341" spans="1:19">
      <c r="A341" s="1" t="s">
        <v>36</v>
      </c>
      <c r="B341" s="2" t="s">
        <v>20</v>
      </c>
      <c r="C341" s="3" t="s">
        <v>42</v>
      </c>
      <c r="D341" s="3" t="s">
        <v>51</v>
      </c>
      <c r="E341" s="2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4">
        <v>45231</v>
      </c>
      <c r="N341" s="5">
        <v>11</v>
      </c>
      <c r="O341" s="3" t="s">
        <v>44</v>
      </c>
      <c r="P341" s="6" t="s">
        <v>40</v>
      </c>
      <c r="Q341" s="14">
        <f t="shared" si="15"/>
        <v>45231</v>
      </c>
      <c r="R341" s="15">
        <f t="shared" si="16"/>
        <v>0.1039426523297491</v>
      </c>
      <c r="S341" s="16">
        <f t="shared" si="17"/>
        <v>7.0000000000000007E-2</v>
      </c>
    </row>
    <row r="342" spans="1:19">
      <c r="A342" s="1" t="s">
        <v>33</v>
      </c>
      <c r="B342" s="2" t="s">
        <v>29</v>
      </c>
      <c r="C342" s="3" t="s">
        <v>42</v>
      </c>
      <c r="D342" s="3" t="s">
        <v>51</v>
      </c>
      <c r="E342" s="2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4">
        <v>45231</v>
      </c>
      <c r="N342" s="5">
        <v>11</v>
      </c>
      <c r="O342" s="3" t="s">
        <v>44</v>
      </c>
      <c r="P342" s="6" t="s">
        <v>40</v>
      </c>
      <c r="Q342" s="14">
        <f t="shared" si="15"/>
        <v>45231</v>
      </c>
      <c r="R342" s="15">
        <f t="shared" si="16"/>
        <v>0.73118279569892475</v>
      </c>
      <c r="S342" s="16">
        <f t="shared" si="17"/>
        <v>7.0000000000000007E-2</v>
      </c>
    </row>
    <row r="343" spans="1:19">
      <c r="A343" s="1" t="s">
        <v>19</v>
      </c>
      <c r="B343" s="2" t="s">
        <v>25</v>
      </c>
      <c r="C343" s="3" t="s">
        <v>42</v>
      </c>
      <c r="D343" s="3" t="s">
        <v>51</v>
      </c>
      <c r="E343" s="2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4">
        <v>45261</v>
      </c>
      <c r="N343" s="5">
        <v>12</v>
      </c>
      <c r="O343" s="3" t="s">
        <v>30</v>
      </c>
      <c r="P343" s="6" t="s">
        <v>40</v>
      </c>
      <c r="Q343" s="14">
        <f t="shared" si="15"/>
        <v>45261</v>
      </c>
      <c r="R343" s="15">
        <f t="shared" si="16"/>
        <v>0.23195084485407066</v>
      </c>
      <c r="S343" s="16">
        <f t="shared" si="17"/>
        <v>7.0000000000000007E-2</v>
      </c>
    </row>
    <row r="344" spans="1:19">
      <c r="A344" s="1" t="s">
        <v>36</v>
      </c>
      <c r="B344" s="2" t="s">
        <v>27</v>
      </c>
      <c r="C344" s="3" t="s">
        <v>45</v>
      </c>
      <c r="D344" s="3" t="s">
        <v>51</v>
      </c>
      <c r="E344" s="2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4">
        <v>45474</v>
      </c>
      <c r="N344" s="5">
        <v>7</v>
      </c>
      <c r="O344" s="3" t="s">
        <v>35</v>
      </c>
      <c r="P344" s="6" t="s">
        <v>24</v>
      </c>
      <c r="Q344" s="14">
        <f t="shared" si="15"/>
        <v>45474</v>
      </c>
      <c r="R344" s="15">
        <f t="shared" si="16"/>
        <v>0.1039426523297491</v>
      </c>
      <c r="S344" s="16">
        <f t="shared" si="17"/>
        <v>7.0000000000000007E-2</v>
      </c>
    </row>
    <row r="345" spans="1:19">
      <c r="A345" s="1" t="s">
        <v>19</v>
      </c>
      <c r="B345" s="2" t="s">
        <v>29</v>
      </c>
      <c r="C345" s="3" t="s">
        <v>45</v>
      </c>
      <c r="D345" s="3" t="s">
        <v>51</v>
      </c>
      <c r="E345" s="2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4">
        <v>45505</v>
      </c>
      <c r="N345" s="5">
        <v>8</v>
      </c>
      <c r="O345" s="3" t="s">
        <v>37</v>
      </c>
      <c r="P345" s="6" t="s">
        <v>24</v>
      </c>
      <c r="Q345" s="14">
        <f t="shared" si="15"/>
        <v>45505</v>
      </c>
      <c r="R345" s="15">
        <f t="shared" si="16"/>
        <v>0.46236559139784944</v>
      </c>
      <c r="S345" s="16">
        <f t="shared" si="17"/>
        <v>7.0000000000000007E-2</v>
      </c>
    </row>
    <row r="346" spans="1:19">
      <c r="A346" s="1" t="s">
        <v>34</v>
      </c>
      <c r="B346" s="2" t="s">
        <v>25</v>
      </c>
      <c r="C346" s="3" t="s">
        <v>45</v>
      </c>
      <c r="D346" s="3" t="s">
        <v>51</v>
      </c>
      <c r="E346" s="2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4">
        <v>45536</v>
      </c>
      <c r="N346" s="5">
        <v>9</v>
      </c>
      <c r="O346" s="3" t="s">
        <v>38</v>
      </c>
      <c r="P346" s="6" t="s">
        <v>24</v>
      </c>
      <c r="Q346" s="14">
        <f t="shared" si="15"/>
        <v>45536</v>
      </c>
      <c r="R346" s="15">
        <f t="shared" si="16"/>
        <v>-3.2258064516129031E-2</v>
      </c>
      <c r="S346" s="16">
        <f t="shared" si="17"/>
        <v>7.0000000000000007E-2</v>
      </c>
    </row>
    <row r="347" spans="1:19">
      <c r="A347" s="1" t="s">
        <v>19</v>
      </c>
      <c r="B347" s="2" t="s">
        <v>27</v>
      </c>
      <c r="C347" s="3" t="s">
        <v>45</v>
      </c>
      <c r="D347" s="3" t="s">
        <v>51</v>
      </c>
      <c r="E347" s="2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4">
        <v>45566</v>
      </c>
      <c r="N347" s="5">
        <v>10</v>
      </c>
      <c r="O347" s="3" t="s">
        <v>39</v>
      </c>
      <c r="P347" s="6" t="s">
        <v>24</v>
      </c>
      <c r="Q347" s="14">
        <f t="shared" si="15"/>
        <v>45566</v>
      </c>
      <c r="R347" s="15">
        <f t="shared" si="16"/>
        <v>0.46236559139784944</v>
      </c>
      <c r="S347" s="16">
        <f t="shared" si="17"/>
        <v>7.0000000000000007E-2</v>
      </c>
    </row>
    <row r="348" spans="1:19">
      <c r="A348" s="1" t="s">
        <v>19</v>
      </c>
      <c r="B348" s="2" t="s">
        <v>41</v>
      </c>
      <c r="C348" s="3" t="s">
        <v>45</v>
      </c>
      <c r="D348" s="3" t="s">
        <v>51</v>
      </c>
      <c r="E348" s="2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12220.599999999999</v>
      </c>
      <c r="M348" s="4">
        <v>45261</v>
      </c>
      <c r="N348" s="5">
        <v>12</v>
      </c>
      <c r="O348" s="3" t="s">
        <v>30</v>
      </c>
      <c r="P348" s="6" t="s">
        <v>40</v>
      </c>
      <c r="Q348" s="14">
        <f t="shared" si="15"/>
        <v>45261</v>
      </c>
      <c r="R348" s="15">
        <f t="shared" si="16"/>
        <v>0.46236559139784944</v>
      </c>
      <c r="S348" s="16">
        <f t="shared" si="17"/>
        <v>7.0000000000000007E-2</v>
      </c>
    </row>
    <row r="349" spans="1:19">
      <c r="A349" s="1" t="s">
        <v>36</v>
      </c>
      <c r="B349" s="2" t="s">
        <v>41</v>
      </c>
      <c r="C349" s="3" t="s">
        <v>45</v>
      </c>
      <c r="D349" s="3" t="s">
        <v>51</v>
      </c>
      <c r="E349" s="2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4">
        <v>45627</v>
      </c>
      <c r="N349" s="5">
        <v>12</v>
      </c>
      <c r="O349" s="3" t="s">
        <v>30</v>
      </c>
      <c r="P349" s="6" t="s">
        <v>24</v>
      </c>
      <c r="Q349" s="14">
        <f t="shared" si="15"/>
        <v>45627</v>
      </c>
      <c r="R349" s="15">
        <f t="shared" si="16"/>
        <v>0.1039426523297491</v>
      </c>
      <c r="S349" s="16">
        <f t="shared" si="17"/>
        <v>7.0000000000000007E-2</v>
      </c>
    </row>
    <row r="350" spans="1:19">
      <c r="A350" s="1" t="s">
        <v>19</v>
      </c>
      <c r="B350" s="2" t="s">
        <v>25</v>
      </c>
      <c r="C350" s="3" t="s">
        <v>45</v>
      </c>
      <c r="D350" s="3" t="s">
        <v>51</v>
      </c>
      <c r="E350" s="2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5056.7999999999993</v>
      </c>
      <c r="M350" s="4">
        <v>45261</v>
      </c>
      <c r="N350" s="5">
        <v>12</v>
      </c>
      <c r="O350" s="3" t="s">
        <v>30</v>
      </c>
      <c r="P350" s="6" t="s">
        <v>40</v>
      </c>
      <c r="Q350" s="14">
        <f t="shared" si="15"/>
        <v>45261</v>
      </c>
      <c r="R350" s="15">
        <f t="shared" si="16"/>
        <v>0.46236559139784944</v>
      </c>
      <c r="S350" s="16">
        <f t="shared" si="17"/>
        <v>7.0000000000000007E-2</v>
      </c>
    </row>
    <row r="351" spans="1:19">
      <c r="A351" s="1" t="s">
        <v>33</v>
      </c>
      <c r="B351" s="2" t="s">
        <v>20</v>
      </c>
      <c r="C351" s="3" t="s">
        <v>46</v>
      </c>
      <c r="D351" s="3" t="s">
        <v>51</v>
      </c>
      <c r="E351" s="2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26475.120000000003</v>
      </c>
      <c r="M351" s="4">
        <v>45292</v>
      </c>
      <c r="N351" s="5">
        <v>1</v>
      </c>
      <c r="O351" s="3" t="s">
        <v>23</v>
      </c>
      <c r="P351" s="6" t="s">
        <v>24</v>
      </c>
      <c r="Q351" s="14">
        <f t="shared" si="15"/>
        <v>45292</v>
      </c>
      <c r="R351" s="15">
        <f t="shared" si="16"/>
        <v>0.73118279569892475</v>
      </c>
      <c r="S351" s="16">
        <f t="shared" si="17"/>
        <v>7.0000000000000007E-2</v>
      </c>
    </row>
    <row r="352" spans="1:19">
      <c r="A352" s="1" t="s">
        <v>36</v>
      </c>
      <c r="B352" s="2" t="s">
        <v>27</v>
      </c>
      <c r="C352" s="3" t="s">
        <v>46</v>
      </c>
      <c r="D352" s="3" t="s">
        <v>51</v>
      </c>
      <c r="E352" s="2">
        <v>959</v>
      </c>
      <c r="F352" s="3">
        <v>250</v>
      </c>
      <c r="G352" s="3">
        <v>300</v>
      </c>
      <c r="H352" s="3">
        <v>287700</v>
      </c>
      <c r="I352" s="3">
        <v>20239</v>
      </c>
      <c r="J352" s="3">
        <v>267561</v>
      </c>
      <c r="K352" s="3">
        <v>239750</v>
      </c>
      <c r="L352" s="3">
        <v>27811</v>
      </c>
      <c r="M352" s="4">
        <v>45323</v>
      </c>
      <c r="N352" s="5">
        <v>2</v>
      </c>
      <c r="O352" s="3" t="s">
        <v>43</v>
      </c>
      <c r="P352" s="6" t="s">
        <v>24</v>
      </c>
      <c r="Q352" s="14">
        <f t="shared" si="15"/>
        <v>45323</v>
      </c>
      <c r="R352" s="15">
        <f t="shared" si="16"/>
        <v>0.1039426523297491</v>
      </c>
      <c r="S352" s="16">
        <f t="shared" si="17"/>
        <v>7.0347584289190135E-2</v>
      </c>
    </row>
    <row r="353" spans="1:19">
      <c r="A353" s="1" t="s">
        <v>36</v>
      </c>
      <c r="B353" s="2" t="s">
        <v>29</v>
      </c>
      <c r="C353" s="3" t="s">
        <v>46</v>
      </c>
      <c r="D353" s="3" t="s">
        <v>51</v>
      </c>
      <c r="E353" s="2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4">
        <v>45323</v>
      </c>
      <c r="N353" s="5">
        <v>2</v>
      </c>
      <c r="O353" s="3" t="s">
        <v>43</v>
      </c>
      <c r="P353" s="6" t="s">
        <v>24</v>
      </c>
      <c r="Q353" s="14">
        <f t="shared" si="15"/>
        <v>45323</v>
      </c>
      <c r="R353" s="15">
        <f t="shared" si="16"/>
        <v>0.1039426523297491</v>
      </c>
      <c r="S353" s="16">
        <f t="shared" si="17"/>
        <v>7.0000000000000007E-2</v>
      </c>
    </row>
    <row r="354" spans="1:19">
      <c r="A354" s="1" t="s">
        <v>34</v>
      </c>
      <c r="B354" s="2" t="s">
        <v>20</v>
      </c>
      <c r="C354" s="3" t="s">
        <v>48</v>
      </c>
      <c r="D354" s="3" t="s">
        <v>51</v>
      </c>
      <c r="E354" s="2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4">
        <v>45413</v>
      </c>
      <c r="N354" s="5">
        <v>5</v>
      </c>
      <c r="O354" s="3" t="s">
        <v>50</v>
      </c>
      <c r="P354" s="6" t="s">
        <v>24</v>
      </c>
      <c r="Q354" s="14">
        <f t="shared" si="15"/>
        <v>45413</v>
      </c>
      <c r="R354" s="15">
        <f t="shared" si="16"/>
        <v>-3.2258064516129031E-2</v>
      </c>
      <c r="S354" s="16">
        <f t="shared" si="17"/>
        <v>7.0000000000000007E-2</v>
      </c>
    </row>
    <row r="355" spans="1:19">
      <c r="A355" s="1" t="s">
        <v>19</v>
      </c>
      <c r="B355" s="2" t="s">
        <v>27</v>
      </c>
      <c r="C355" s="3" t="s">
        <v>48</v>
      </c>
      <c r="D355" s="3" t="s">
        <v>51</v>
      </c>
      <c r="E355" s="2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4">
        <v>45536</v>
      </c>
      <c r="N355" s="5">
        <v>9</v>
      </c>
      <c r="O355" s="3" t="s">
        <v>38</v>
      </c>
      <c r="P355" s="6" t="s">
        <v>24</v>
      </c>
      <c r="Q355" s="14">
        <f t="shared" si="15"/>
        <v>45536</v>
      </c>
      <c r="R355" s="15">
        <f t="shared" si="16"/>
        <v>0.20122887864823349</v>
      </c>
      <c r="S355" s="16">
        <f t="shared" si="17"/>
        <v>7.0000000000000007E-2</v>
      </c>
    </row>
    <row r="356" spans="1:19">
      <c r="A356" s="1" t="s">
        <v>34</v>
      </c>
      <c r="B356" s="2" t="s">
        <v>25</v>
      </c>
      <c r="C356" s="3" t="s">
        <v>48</v>
      </c>
      <c r="D356" s="3" t="s">
        <v>51</v>
      </c>
      <c r="E356" s="2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4">
        <v>45170</v>
      </c>
      <c r="N356" s="5">
        <v>9</v>
      </c>
      <c r="O356" s="3" t="s">
        <v>38</v>
      </c>
      <c r="P356" s="6" t="s">
        <v>40</v>
      </c>
      <c r="Q356" s="14">
        <f t="shared" si="15"/>
        <v>45170</v>
      </c>
      <c r="R356" s="15">
        <f t="shared" si="16"/>
        <v>-3.2258064516129031E-2</v>
      </c>
      <c r="S356" s="16">
        <f t="shared" si="17"/>
        <v>7.0000000000000007E-2</v>
      </c>
    </row>
    <row r="357" spans="1:19">
      <c r="A357" s="1" t="s">
        <v>19</v>
      </c>
      <c r="B357" s="2" t="s">
        <v>20</v>
      </c>
      <c r="C357" s="3" t="s">
        <v>48</v>
      </c>
      <c r="D357" s="3" t="s">
        <v>51</v>
      </c>
      <c r="E357" s="2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4">
        <v>45597</v>
      </c>
      <c r="N357" s="5">
        <v>11</v>
      </c>
      <c r="O357" s="3" t="s">
        <v>44</v>
      </c>
      <c r="P357" s="6" t="s">
        <v>24</v>
      </c>
      <c r="Q357" s="14">
        <f t="shared" si="15"/>
        <v>45597</v>
      </c>
      <c r="R357" s="15">
        <f t="shared" si="16"/>
        <v>0.46236559139784944</v>
      </c>
      <c r="S357" s="16">
        <f t="shared" si="17"/>
        <v>7.0000000000000007E-2</v>
      </c>
    </row>
    <row r="358" spans="1:19">
      <c r="A358" s="1" t="s">
        <v>36</v>
      </c>
      <c r="B358" s="2" t="s">
        <v>41</v>
      </c>
      <c r="C358" s="3" t="s">
        <v>48</v>
      </c>
      <c r="D358" s="3" t="s">
        <v>51</v>
      </c>
      <c r="E358" s="2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4">
        <v>45627</v>
      </c>
      <c r="N358" s="5">
        <v>12</v>
      </c>
      <c r="O358" s="3" t="s">
        <v>30</v>
      </c>
      <c r="P358" s="6" t="s">
        <v>24</v>
      </c>
      <c r="Q358" s="14">
        <f t="shared" si="15"/>
        <v>45627</v>
      </c>
      <c r="R358" s="15">
        <f t="shared" si="16"/>
        <v>0.1039426523297491</v>
      </c>
      <c r="S358" s="16">
        <f t="shared" si="17"/>
        <v>7.0000000000000007E-2</v>
      </c>
    </row>
    <row r="359" spans="1:19">
      <c r="A359" s="1" t="s">
        <v>19</v>
      </c>
      <c r="B359" s="2" t="s">
        <v>20</v>
      </c>
      <c r="C359" s="3" t="s">
        <v>31</v>
      </c>
      <c r="D359" s="3" t="s">
        <v>51</v>
      </c>
      <c r="E359" s="2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3142.7200000000003</v>
      </c>
      <c r="K359" s="3">
        <v>2440</v>
      </c>
      <c r="L359" s="3">
        <v>702.72000000000025</v>
      </c>
      <c r="M359" s="4">
        <v>45323</v>
      </c>
      <c r="N359" s="5">
        <v>2</v>
      </c>
      <c r="O359" s="3" t="s">
        <v>43</v>
      </c>
      <c r="P359" s="6" t="s">
        <v>24</v>
      </c>
      <c r="Q359" s="14">
        <f t="shared" si="15"/>
        <v>45323</v>
      </c>
      <c r="R359" s="15">
        <f t="shared" si="16"/>
        <v>0.22360248447204975</v>
      </c>
      <c r="S359" s="16">
        <f t="shared" si="17"/>
        <v>7.9999999999999988E-2</v>
      </c>
    </row>
    <row r="360" spans="1:19">
      <c r="A360" s="1" t="s">
        <v>19</v>
      </c>
      <c r="B360" s="2" t="s">
        <v>41</v>
      </c>
      <c r="C360" s="3" t="s">
        <v>31</v>
      </c>
      <c r="D360" s="3" t="s">
        <v>51</v>
      </c>
      <c r="E360" s="2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4">
        <v>45444</v>
      </c>
      <c r="N360" s="5">
        <v>6</v>
      </c>
      <c r="O360" s="3" t="s">
        <v>28</v>
      </c>
      <c r="P360" s="6" t="s">
        <v>24</v>
      </c>
      <c r="Q360" s="14">
        <f t="shared" si="15"/>
        <v>45444</v>
      </c>
      <c r="R360" s="15">
        <f t="shared" si="16"/>
        <v>0.45652173913043476</v>
      </c>
      <c r="S360" s="16">
        <f t="shared" si="17"/>
        <v>7.9999999999999988E-2</v>
      </c>
    </row>
    <row r="361" spans="1:19">
      <c r="A361" s="1" t="s">
        <v>19</v>
      </c>
      <c r="B361" s="2" t="s">
        <v>20</v>
      </c>
      <c r="C361" s="3" t="s">
        <v>42</v>
      </c>
      <c r="D361" s="3" t="s">
        <v>51</v>
      </c>
      <c r="E361" s="2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370.07999999999993</v>
      </c>
      <c r="M361" s="4">
        <v>45413</v>
      </c>
      <c r="N361" s="5">
        <v>5</v>
      </c>
      <c r="O361" s="3" t="s">
        <v>50</v>
      </c>
      <c r="P361" s="6" t="s">
        <v>24</v>
      </c>
      <c r="Q361" s="14">
        <f t="shared" si="15"/>
        <v>45413</v>
      </c>
      <c r="R361" s="15">
        <f t="shared" si="16"/>
        <v>0.22360248447204967</v>
      </c>
      <c r="S361" s="16">
        <f t="shared" si="17"/>
        <v>7.9999999999999988E-2</v>
      </c>
    </row>
    <row r="362" spans="1:19">
      <c r="A362" s="1" t="s">
        <v>19</v>
      </c>
      <c r="B362" s="2" t="s">
        <v>41</v>
      </c>
      <c r="C362" s="3" t="s">
        <v>48</v>
      </c>
      <c r="D362" s="3" t="s">
        <v>51</v>
      </c>
      <c r="E362" s="2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4">
        <v>45444</v>
      </c>
      <c r="N362" s="5">
        <v>6</v>
      </c>
      <c r="O362" s="3" t="s">
        <v>28</v>
      </c>
      <c r="P362" s="6" t="s">
        <v>24</v>
      </c>
      <c r="Q362" s="14">
        <f t="shared" si="15"/>
        <v>45444</v>
      </c>
      <c r="R362" s="15">
        <f t="shared" si="16"/>
        <v>0.45652173913043476</v>
      </c>
      <c r="S362" s="16">
        <f t="shared" si="17"/>
        <v>7.9999999999999988E-2</v>
      </c>
    </row>
    <row r="363" spans="1:19">
      <c r="A363" s="1" t="s">
        <v>34</v>
      </c>
      <c r="B363" s="2" t="s">
        <v>29</v>
      </c>
      <c r="C363" s="3" t="s">
        <v>21</v>
      </c>
      <c r="D363" s="3" t="s">
        <v>51</v>
      </c>
      <c r="E363" s="2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4">
        <v>45505</v>
      </c>
      <c r="N363" s="5">
        <v>8</v>
      </c>
      <c r="O363" s="3" t="s">
        <v>37</v>
      </c>
      <c r="P363" s="6" t="s">
        <v>24</v>
      </c>
      <c r="Q363" s="14">
        <f t="shared" si="15"/>
        <v>45505</v>
      </c>
      <c r="R363" s="15">
        <f t="shared" si="16"/>
        <v>-4.3478260869565216E-2</v>
      </c>
      <c r="S363" s="16">
        <f t="shared" si="17"/>
        <v>0.08</v>
      </c>
    </row>
    <row r="364" spans="1:19">
      <c r="A364" s="1" t="s">
        <v>26</v>
      </c>
      <c r="B364" s="2" t="s">
        <v>27</v>
      </c>
      <c r="C364" s="3" t="s">
        <v>21</v>
      </c>
      <c r="D364" s="3" t="s">
        <v>51</v>
      </c>
      <c r="E364" s="2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4">
        <v>45597</v>
      </c>
      <c r="N364" s="5">
        <v>11</v>
      </c>
      <c r="O364" s="3" t="s">
        <v>44</v>
      </c>
      <c r="P364" s="6" t="s">
        <v>24</v>
      </c>
      <c r="Q364" s="14">
        <f t="shared" si="15"/>
        <v>45597</v>
      </c>
      <c r="R364" s="15">
        <f t="shared" si="16"/>
        <v>0.27536231884057971</v>
      </c>
      <c r="S364" s="16">
        <f t="shared" si="17"/>
        <v>0.08</v>
      </c>
    </row>
    <row r="365" spans="1:19">
      <c r="A365" s="1" t="s">
        <v>19</v>
      </c>
      <c r="B365" s="2" t="s">
        <v>29</v>
      </c>
      <c r="C365" s="3" t="s">
        <v>21</v>
      </c>
      <c r="D365" s="3" t="s">
        <v>51</v>
      </c>
      <c r="E365" s="2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4">
        <v>45627</v>
      </c>
      <c r="N365" s="5">
        <v>12</v>
      </c>
      <c r="O365" s="3" t="s">
        <v>30</v>
      </c>
      <c r="P365" s="6" t="s">
        <v>24</v>
      </c>
      <c r="Q365" s="14">
        <f t="shared" si="15"/>
        <v>45627</v>
      </c>
      <c r="R365" s="15">
        <f t="shared" si="16"/>
        <v>0.19254658385093168</v>
      </c>
      <c r="S365" s="16">
        <f t="shared" si="17"/>
        <v>0.08</v>
      </c>
    </row>
    <row r="366" spans="1:19">
      <c r="A366" s="1" t="s">
        <v>26</v>
      </c>
      <c r="B366" s="2" t="s">
        <v>27</v>
      </c>
      <c r="C366" s="3" t="s">
        <v>31</v>
      </c>
      <c r="D366" s="3" t="s">
        <v>51</v>
      </c>
      <c r="E366" s="2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9503.8000000000029</v>
      </c>
      <c r="M366" s="4">
        <v>45352</v>
      </c>
      <c r="N366" s="5">
        <v>3</v>
      </c>
      <c r="O366" s="3" t="s">
        <v>32</v>
      </c>
      <c r="P366" s="6" t="s">
        <v>24</v>
      </c>
      <c r="Q366" s="14">
        <f t="shared" si="15"/>
        <v>45352</v>
      </c>
      <c r="R366" s="15">
        <f t="shared" si="16"/>
        <v>0.27536231884057977</v>
      </c>
      <c r="S366" s="16">
        <f t="shared" si="17"/>
        <v>0.08</v>
      </c>
    </row>
    <row r="367" spans="1:19">
      <c r="A367" s="1" t="s">
        <v>19</v>
      </c>
      <c r="B367" s="2" t="s">
        <v>20</v>
      </c>
      <c r="C367" s="3" t="s">
        <v>31</v>
      </c>
      <c r="D367" s="3" t="s">
        <v>51</v>
      </c>
      <c r="E367" s="2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5947.2000000000007</v>
      </c>
      <c r="M367" s="4">
        <v>45444</v>
      </c>
      <c r="N367" s="5">
        <v>6</v>
      </c>
      <c r="O367" s="3" t="s">
        <v>28</v>
      </c>
      <c r="P367" s="6" t="s">
        <v>24</v>
      </c>
      <c r="Q367" s="14">
        <f t="shared" si="15"/>
        <v>45444</v>
      </c>
      <c r="R367" s="15">
        <f t="shared" si="16"/>
        <v>0.45652173913043481</v>
      </c>
      <c r="S367" s="16">
        <f t="shared" si="17"/>
        <v>0.08</v>
      </c>
    </row>
    <row r="368" spans="1:19">
      <c r="A368" s="1" t="s">
        <v>19</v>
      </c>
      <c r="B368" s="2" t="s">
        <v>25</v>
      </c>
      <c r="C368" s="3" t="s">
        <v>31</v>
      </c>
      <c r="D368" s="3" t="s">
        <v>51</v>
      </c>
      <c r="E368" s="2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4">
        <v>45474</v>
      </c>
      <c r="N368" s="5">
        <v>7</v>
      </c>
      <c r="O368" s="3" t="s">
        <v>35</v>
      </c>
      <c r="P368" s="6" t="s">
        <v>24</v>
      </c>
      <c r="Q368" s="14">
        <f t="shared" si="15"/>
        <v>45474</v>
      </c>
      <c r="R368" s="15">
        <f t="shared" si="16"/>
        <v>0.45652173913043476</v>
      </c>
      <c r="S368" s="16">
        <f t="shared" si="17"/>
        <v>0.08</v>
      </c>
    </row>
    <row r="369" spans="1:19">
      <c r="A369" s="1" t="s">
        <v>36</v>
      </c>
      <c r="B369" s="2" t="s">
        <v>27</v>
      </c>
      <c r="C369" s="3" t="s">
        <v>31</v>
      </c>
      <c r="D369" s="3" t="s">
        <v>51</v>
      </c>
      <c r="E369" s="2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4">
        <v>45505</v>
      </c>
      <c r="N369" s="5">
        <v>8</v>
      </c>
      <c r="O369" s="3" t="s">
        <v>37</v>
      </c>
      <c r="P369" s="6" t="s">
        <v>24</v>
      </c>
      <c r="Q369" s="14">
        <f t="shared" si="15"/>
        <v>45505</v>
      </c>
      <c r="R369" s="15">
        <f t="shared" si="16"/>
        <v>9.420289855072464E-2</v>
      </c>
      <c r="S369" s="16">
        <f t="shared" si="17"/>
        <v>0.08</v>
      </c>
    </row>
    <row r="370" spans="1:19">
      <c r="A370" s="1" t="s">
        <v>36</v>
      </c>
      <c r="B370" s="2" t="s">
        <v>20</v>
      </c>
      <c r="C370" s="3" t="s">
        <v>31</v>
      </c>
      <c r="D370" s="3" t="s">
        <v>51</v>
      </c>
      <c r="E370" s="2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4">
        <v>45170</v>
      </c>
      <c r="N370" s="5">
        <v>9</v>
      </c>
      <c r="O370" s="3" t="s">
        <v>38</v>
      </c>
      <c r="P370" s="6" t="s">
        <v>40</v>
      </c>
      <c r="Q370" s="14">
        <f t="shared" si="15"/>
        <v>45170</v>
      </c>
      <c r="R370" s="15">
        <f t="shared" si="16"/>
        <v>9.420289855072464E-2</v>
      </c>
      <c r="S370" s="16">
        <f t="shared" si="17"/>
        <v>0.08</v>
      </c>
    </row>
    <row r="371" spans="1:19">
      <c r="A371" s="1" t="s">
        <v>26</v>
      </c>
      <c r="B371" s="2" t="s">
        <v>25</v>
      </c>
      <c r="C371" s="3" t="s">
        <v>31</v>
      </c>
      <c r="D371" s="3" t="s">
        <v>51</v>
      </c>
      <c r="E371" s="2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2701.7999999999993</v>
      </c>
      <c r="M371" s="4">
        <v>45627</v>
      </c>
      <c r="N371" s="5">
        <v>12</v>
      </c>
      <c r="O371" s="3" t="s">
        <v>30</v>
      </c>
      <c r="P371" s="6" t="s">
        <v>24</v>
      </c>
      <c r="Q371" s="14">
        <f t="shared" si="15"/>
        <v>45627</v>
      </c>
      <c r="R371" s="15">
        <f t="shared" si="16"/>
        <v>0.27536231884057966</v>
      </c>
      <c r="S371" s="16">
        <f t="shared" si="17"/>
        <v>0.08</v>
      </c>
    </row>
    <row r="372" spans="1:19">
      <c r="A372" s="1" t="s">
        <v>34</v>
      </c>
      <c r="B372" s="2" t="s">
        <v>29</v>
      </c>
      <c r="C372" s="3" t="s">
        <v>42</v>
      </c>
      <c r="D372" s="3" t="s">
        <v>51</v>
      </c>
      <c r="E372" s="2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4">
        <v>45352</v>
      </c>
      <c r="N372" s="5">
        <v>3</v>
      </c>
      <c r="O372" s="3" t="s">
        <v>32</v>
      </c>
      <c r="P372" s="6" t="s">
        <v>24</v>
      </c>
      <c r="Q372" s="14">
        <f t="shared" si="15"/>
        <v>45352</v>
      </c>
      <c r="R372" s="15">
        <f t="shared" si="16"/>
        <v>-4.3478260869565216E-2</v>
      </c>
      <c r="S372" s="16">
        <f t="shared" si="17"/>
        <v>0.08</v>
      </c>
    </row>
    <row r="373" spans="1:19">
      <c r="A373" s="1" t="s">
        <v>19</v>
      </c>
      <c r="B373" s="2" t="s">
        <v>25</v>
      </c>
      <c r="C373" s="3" t="s">
        <v>42</v>
      </c>
      <c r="D373" s="3" t="s">
        <v>51</v>
      </c>
      <c r="E373" s="2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4">
        <v>45383</v>
      </c>
      <c r="N373" s="5">
        <v>4</v>
      </c>
      <c r="O373" s="3" t="s">
        <v>47</v>
      </c>
      <c r="P373" s="6" t="s">
        <v>24</v>
      </c>
      <c r="Q373" s="14">
        <f t="shared" si="15"/>
        <v>45383</v>
      </c>
      <c r="R373" s="15">
        <f t="shared" si="16"/>
        <v>0.2236024844720497</v>
      </c>
      <c r="S373" s="16">
        <f t="shared" si="17"/>
        <v>0.08</v>
      </c>
    </row>
    <row r="374" spans="1:19">
      <c r="A374" s="1" t="s">
        <v>19</v>
      </c>
      <c r="B374" s="2" t="s">
        <v>25</v>
      </c>
      <c r="C374" s="3" t="s">
        <v>42</v>
      </c>
      <c r="D374" s="3" t="s">
        <v>51</v>
      </c>
      <c r="E374" s="2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1576.8000000000002</v>
      </c>
      <c r="M374" s="4">
        <v>45413</v>
      </c>
      <c r="N374" s="5">
        <v>5</v>
      </c>
      <c r="O374" s="3" t="s">
        <v>50</v>
      </c>
      <c r="P374" s="6" t="s">
        <v>24</v>
      </c>
      <c r="Q374" s="14">
        <f t="shared" si="15"/>
        <v>45413</v>
      </c>
      <c r="R374" s="15">
        <f t="shared" si="16"/>
        <v>0.22360248447204972</v>
      </c>
      <c r="S374" s="16">
        <f t="shared" si="17"/>
        <v>0.08</v>
      </c>
    </row>
    <row r="375" spans="1:19">
      <c r="A375" s="1" t="s">
        <v>19</v>
      </c>
      <c r="B375" s="2" t="s">
        <v>25</v>
      </c>
      <c r="C375" s="3" t="s">
        <v>42</v>
      </c>
      <c r="D375" s="3" t="s">
        <v>51</v>
      </c>
      <c r="E375" s="2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11474.400000000001</v>
      </c>
      <c r="M375" s="4">
        <v>45444</v>
      </c>
      <c r="N375" s="5">
        <v>6</v>
      </c>
      <c r="O375" s="3" t="s">
        <v>28</v>
      </c>
      <c r="P375" s="6" t="s">
        <v>24</v>
      </c>
      <c r="Q375" s="14">
        <f t="shared" si="15"/>
        <v>45444</v>
      </c>
      <c r="R375" s="15">
        <f t="shared" si="16"/>
        <v>0.45652173913043481</v>
      </c>
      <c r="S375" s="16">
        <f t="shared" si="17"/>
        <v>0.08</v>
      </c>
    </row>
    <row r="376" spans="1:19">
      <c r="A376" s="1" t="s">
        <v>36</v>
      </c>
      <c r="B376" s="2" t="s">
        <v>29</v>
      </c>
      <c r="C376" s="3" t="s">
        <v>42</v>
      </c>
      <c r="D376" s="3" t="s">
        <v>51</v>
      </c>
      <c r="E376" s="2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4">
        <v>45444</v>
      </c>
      <c r="N376" s="5">
        <v>6</v>
      </c>
      <c r="O376" s="3" t="s">
        <v>28</v>
      </c>
      <c r="P376" s="6" t="s">
        <v>24</v>
      </c>
      <c r="Q376" s="14">
        <f t="shared" si="15"/>
        <v>45444</v>
      </c>
      <c r="R376" s="15">
        <f t="shared" si="16"/>
        <v>9.420289855072464E-2</v>
      </c>
      <c r="S376" s="16">
        <f t="shared" si="17"/>
        <v>0.08</v>
      </c>
    </row>
    <row r="377" spans="1:19">
      <c r="A377" s="1" t="s">
        <v>19</v>
      </c>
      <c r="B377" s="2" t="s">
        <v>41</v>
      </c>
      <c r="C377" s="3" t="s">
        <v>42</v>
      </c>
      <c r="D377" s="3" t="s">
        <v>51</v>
      </c>
      <c r="E377" s="2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976.31999999999971</v>
      </c>
      <c r="M377" s="4">
        <v>45505</v>
      </c>
      <c r="N377" s="5">
        <v>8</v>
      </c>
      <c r="O377" s="3" t="s">
        <v>37</v>
      </c>
      <c r="P377" s="6" t="s">
        <v>24</v>
      </c>
      <c r="Q377" s="14">
        <f t="shared" si="15"/>
        <v>45505</v>
      </c>
      <c r="R377" s="15">
        <f t="shared" si="16"/>
        <v>0.22360248447204964</v>
      </c>
      <c r="S377" s="16">
        <f t="shared" si="17"/>
        <v>0.08</v>
      </c>
    </row>
    <row r="378" spans="1:19">
      <c r="A378" s="1" t="s">
        <v>19</v>
      </c>
      <c r="B378" s="2" t="s">
        <v>25</v>
      </c>
      <c r="C378" s="3" t="s">
        <v>42</v>
      </c>
      <c r="D378" s="3" t="s">
        <v>51</v>
      </c>
      <c r="E378" s="2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2301.1200000000008</v>
      </c>
      <c r="M378" s="4">
        <v>45505</v>
      </c>
      <c r="N378" s="5">
        <v>8</v>
      </c>
      <c r="O378" s="3" t="s">
        <v>37</v>
      </c>
      <c r="P378" s="6" t="s">
        <v>24</v>
      </c>
      <c r="Q378" s="14">
        <f t="shared" si="15"/>
        <v>45505</v>
      </c>
      <c r="R378" s="15">
        <f t="shared" si="16"/>
        <v>0.22360248447204975</v>
      </c>
      <c r="S378" s="16">
        <f t="shared" si="17"/>
        <v>0.08</v>
      </c>
    </row>
    <row r="379" spans="1:19">
      <c r="A379" s="1" t="s">
        <v>19</v>
      </c>
      <c r="B379" s="2" t="s">
        <v>25</v>
      </c>
      <c r="C379" s="3" t="s">
        <v>42</v>
      </c>
      <c r="D379" s="3" t="s">
        <v>51</v>
      </c>
      <c r="E379" s="2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3468.9599999999991</v>
      </c>
      <c r="M379" s="4">
        <v>45170</v>
      </c>
      <c r="N379" s="5">
        <v>9</v>
      </c>
      <c r="O379" s="3" t="s">
        <v>38</v>
      </c>
      <c r="P379" s="6" t="s">
        <v>40</v>
      </c>
      <c r="Q379" s="14">
        <f t="shared" si="15"/>
        <v>45170</v>
      </c>
      <c r="R379" s="15">
        <f t="shared" si="16"/>
        <v>0.22360248447204964</v>
      </c>
      <c r="S379" s="16">
        <f t="shared" si="17"/>
        <v>0.08</v>
      </c>
    </row>
    <row r="380" spans="1:19">
      <c r="A380" s="1" t="s">
        <v>19</v>
      </c>
      <c r="B380" s="2" t="s">
        <v>25</v>
      </c>
      <c r="C380" s="3" t="s">
        <v>42</v>
      </c>
      <c r="D380" s="3" t="s">
        <v>51</v>
      </c>
      <c r="E380" s="2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16245.599999999999</v>
      </c>
      <c r="M380" s="4">
        <v>45536</v>
      </c>
      <c r="N380" s="5">
        <v>9</v>
      </c>
      <c r="O380" s="3" t="s">
        <v>38</v>
      </c>
      <c r="P380" s="6" t="s">
        <v>24</v>
      </c>
      <c r="Q380" s="14">
        <f t="shared" si="15"/>
        <v>45536</v>
      </c>
      <c r="R380" s="15">
        <f t="shared" si="16"/>
        <v>0.45652173913043476</v>
      </c>
      <c r="S380" s="16">
        <f t="shared" si="17"/>
        <v>0.08</v>
      </c>
    </row>
    <row r="381" spans="1:19">
      <c r="A381" s="1" t="s">
        <v>19</v>
      </c>
      <c r="B381" s="2" t="s">
        <v>29</v>
      </c>
      <c r="C381" s="3" t="s">
        <v>42</v>
      </c>
      <c r="D381" s="3" t="s">
        <v>51</v>
      </c>
      <c r="E381" s="2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25141.199999999997</v>
      </c>
      <c r="M381" s="4">
        <v>45536</v>
      </c>
      <c r="N381" s="5">
        <v>9</v>
      </c>
      <c r="O381" s="3" t="s">
        <v>38</v>
      </c>
      <c r="P381" s="6" t="s">
        <v>24</v>
      </c>
      <c r="Q381" s="14">
        <f t="shared" si="15"/>
        <v>45536</v>
      </c>
      <c r="R381" s="15">
        <f t="shared" si="16"/>
        <v>0.45652173913043476</v>
      </c>
      <c r="S381" s="16">
        <f t="shared" si="17"/>
        <v>0.08</v>
      </c>
    </row>
    <row r="382" spans="1:19">
      <c r="A382" s="1" t="s">
        <v>19</v>
      </c>
      <c r="B382" s="2" t="s">
        <v>25</v>
      </c>
      <c r="C382" s="3" t="s">
        <v>42</v>
      </c>
      <c r="D382" s="3" t="s">
        <v>51</v>
      </c>
      <c r="E382" s="2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4">
        <v>45231</v>
      </c>
      <c r="N382" s="5">
        <v>11</v>
      </c>
      <c r="O382" s="3" t="s">
        <v>44</v>
      </c>
      <c r="P382" s="6" t="s">
        <v>40</v>
      </c>
      <c r="Q382" s="14">
        <f t="shared" si="15"/>
        <v>45231</v>
      </c>
      <c r="R382" s="15">
        <f t="shared" si="16"/>
        <v>0.19254658385093168</v>
      </c>
      <c r="S382" s="16">
        <f t="shared" si="17"/>
        <v>0.08</v>
      </c>
    </row>
    <row r="383" spans="1:19">
      <c r="A383" s="1" t="s">
        <v>19</v>
      </c>
      <c r="B383" s="2" t="s">
        <v>29</v>
      </c>
      <c r="C383" s="3" t="s">
        <v>42</v>
      </c>
      <c r="D383" s="3" t="s">
        <v>51</v>
      </c>
      <c r="E383" s="2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4">
        <v>45261</v>
      </c>
      <c r="N383" s="5">
        <v>12</v>
      </c>
      <c r="O383" s="3" t="s">
        <v>30</v>
      </c>
      <c r="P383" s="6" t="s">
        <v>40</v>
      </c>
      <c r="Q383" s="14">
        <f t="shared" si="15"/>
        <v>45261</v>
      </c>
      <c r="R383" s="15">
        <f t="shared" si="16"/>
        <v>0.22360248447204967</v>
      </c>
      <c r="S383" s="16">
        <f t="shared" si="17"/>
        <v>0.08</v>
      </c>
    </row>
    <row r="384" spans="1:19">
      <c r="A384" s="1" t="s">
        <v>19</v>
      </c>
      <c r="B384" s="2" t="s">
        <v>29</v>
      </c>
      <c r="C384" s="3" t="s">
        <v>42</v>
      </c>
      <c r="D384" s="3" t="s">
        <v>51</v>
      </c>
      <c r="E384" s="2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4">
        <v>45627</v>
      </c>
      <c r="N384" s="5">
        <v>12</v>
      </c>
      <c r="O384" s="3" t="s">
        <v>30</v>
      </c>
      <c r="P384" s="6" t="s">
        <v>24</v>
      </c>
      <c r="Q384" s="14">
        <f t="shared" si="15"/>
        <v>45627</v>
      </c>
      <c r="R384" s="15">
        <f t="shared" si="16"/>
        <v>0.19254658385093168</v>
      </c>
      <c r="S384" s="16">
        <f t="shared" si="17"/>
        <v>0.08</v>
      </c>
    </row>
    <row r="385" spans="1:19">
      <c r="A385" s="1" t="s">
        <v>33</v>
      </c>
      <c r="B385" s="2" t="s">
        <v>20</v>
      </c>
      <c r="C385" s="3" t="s">
        <v>45</v>
      </c>
      <c r="D385" s="3" t="s">
        <v>51</v>
      </c>
      <c r="E385" s="2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4">
        <v>45352</v>
      </c>
      <c r="N385" s="5">
        <v>3</v>
      </c>
      <c r="O385" s="3" t="s">
        <v>32</v>
      </c>
      <c r="P385" s="6" t="s">
        <v>24</v>
      </c>
      <c r="Q385" s="14">
        <f t="shared" si="15"/>
        <v>45352</v>
      </c>
      <c r="R385" s="15">
        <f t="shared" si="16"/>
        <v>0.72826086956521741</v>
      </c>
      <c r="S385" s="16">
        <f t="shared" si="17"/>
        <v>0.08</v>
      </c>
    </row>
    <row r="386" spans="1:19">
      <c r="A386" s="1" t="s">
        <v>19</v>
      </c>
      <c r="B386" s="2" t="s">
        <v>41</v>
      </c>
      <c r="C386" s="3" t="s">
        <v>45</v>
      </c>
      <c r="D386" s="3" t="s">
        <v>51</v>
      </c>
      <c r="E386" s="2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4186.0800000000017</v>
      </c>
      <c r="M386" s="4">
        <v>45444</v>
      </c>
      <c r="N386" s="5">
        <v>6</v>
      </c>
      <c r="O386" s="3" t="s">
        <v>28</v>
      </c>
      <c r="P386" s="6" t="s">
        <v>24</v>
      </c>
      <c r="Q386" s="14">
        <f t="shared" ref="Q386:Q449" si="18">DATE($P386,$N386,1)</f>
        <v>45444</v>
      </c>
      <c r="R386" s="15">
        <f t="shared" ref="R386:R449" si="19">IFERROR($L386/$J386,0)</f>
        <v>0.22360248447204975</v>
      </c>
      <c r="S386" s="16">
        <f t="shared" ref="S386:S449" si="20">IFERROR($I386/$H386,0)</f>
        <v>0.08</v>
      </c>
    </row>
    <row r="387" spans="1:19">
      <c r="A387" s="1" t="s">
        <v>19</v>
      </c>
      <c r="B387" s="2" t="s">
        <v>25</v>
      </c>
      <c r="C387" s="3" t="s">
        <v>45</v>
      </c>
      <c r="D387" s="3" t="s">
        <v>51</v>
      </c>
      <c r="E387" s="2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3366.7199999999993</v>
      </c>
      <c r="M387" s="4">
        <v>45444</v>
      </c>
      <c r="N387" s="5">
        <v>6</v>
      </c>
      <c r="O387" s="3" t="s">
        <v>28</v>
      </c>
      <c r="P387" s="6" t="s">
        <v>24</v>
      </c>
      <c r="Q387" s="14">
        <f t="shared" si="18"/>
        <v>45444</v>
      </c>
      <c r="R387" s="15">
        <f t="shared" si="19"/>
        <v>0.22360248447204967</v>
      </c>
      <c r="S387" s="16">
        <f t="shared" si="20"/>
        <v>0.08</v>
      </c>
    </row>
    <row r="388" spans="1:19">
      <c r="A388" s="1" t="s">
        <v>36</v>
      </c>
      <c r="B388" s="2" t="s">
        <v>27</v>
      </c>
      <c r="C388" s="3" t="s">
        <v>45</v>
      </c>
      <c r="D388" s="3" t="s">
        <v>51</v>
      </c>
      <c r="E388" s="2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4">
        <v>45231</v>
      </c>
      <c r="N388" s="5">
        <v>11</v>
      </c>
      <c r="O388" s="3" t="s">
        <v>44</v>
      </c>
      <c r="P388" s="6" t="s">
        <v>40</v>
      </c>
      <c r="Q388" s="14">
        <f t="shared" si="18"/>
        <v>45231</v>
      </c>
      <c r="R388" s="15">
        <f t="shared" si="19"/>
        <v>9.420289855072464E-2</v>
      </c>
      <c r="S388" s="16">
        <f t="shared" si="20"/>
        <v>0.08</v>
      </c>
    </row>
    <row r="389" spans="1:19">
      <c r="A389" s="1" t="s">
        <v>36</v>
      </c>
      <c r="B389" s="2" t="s">
        <v>29</v>
      </c>
      <c r="C389" s="3" t="s">
        <v>45</v>
      </c>
      <c r="D389" s="3" t="s">
        <v>51</v>
      </c>
      <c r="E389" s="2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4">
        <v>45627</v>
      </c>
      <c r="N389" s="5">
        <v>12</v>
      </c>
      <c r="O389" s="3" t="s">
        <v>30</v>
      </c>
      <c r="P389" s="6" t="s">
        <v>24</v>
      </c>
      <c r="Q389" s="14">
        <f t="shared" si="18"/>
        <v>45627</v>
      </c>
      <c r="R389" s="15">
        <f t="shared" si="19"/>
        <v>9.420289855072464E-2</v>
      </c>
      <c r="S389" s="16">
        <f t="shared" si="20"/>
        <v>0.08</v>
      </c>
    </row>
    <row r="390" spans="1:19">
      <c r="A390" s="1" t="s">
        <v>19</v>
      </c>
      <c r="B390" s="2" t="s">
        <v>27</v>
      </c>
      <c r="C390" s="3" t="s">
        <v>46</v>
      </c>
      <c r="D390" s="3" t="s">
        <v>51</v>
      </c>
      <c r="E390" s="2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4">
        <v>45383</v>
      </c>
      <c r="N390" s="5">
        <v>4</v>
      </c>
      <c r="O390" s="3" t="s">
        <v>47</v>
      </c>
      <c r="P390" s="6" t="s">
        <v>24</v>
      </c>
      <c r="Q390" s="14">
        <f t="shared" si="18"/>
        <v>45383</v>
      </c>
      <c r="R390" s="15">
        <f t="shared" si="19"/>
        <v>0.19254658385093168</v>
      </c>
      <c r="S390" s="16">
        <f t="shared" si="20"/>
        <v>0.08</v>
      </c>
    </row>
    <row r="391" spans="1:19">
      <c r="A391" s="1" t="s">
        <v>19</v>
      </c>
      <c r="B391" s="2" t="s">
        <v>25</v>
      </c>
      <c r="C391" s="3" t="s">
        <v>46</v>
      </c>
      <c r="D391" s="3" t="s">
        <v>51</v>
      </c>
      <c r="E391" s="2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3366.7199999999993</v>
      </c>
      <c r="M391" s="4">
        <v>45444</v>
      </c>
      <c r="N391" s="5">
        <v>6</v>
      </c>
      <c r="O391" s="3" t="s">
        <v>28</v>
      </c>
      <c r="P391" s="6" t="s">
        <v>24</v>
      </c>
      <c r="Q391" s="14">
        <f t="shared" si="18"/>
        <v>45444</v>
      </c>
      <c r="R391" s="15">
        <f t="shared" si="19"/>
        <v>0.22360248447204967</v>
      </c>
      <c r="S391" s="16">
        <f t="shared" si="20"/>
        <v>0.08</v>
      </c>
    </row>
    <row r="392" spans="1:19">
      <c r="A392" s="1" t="s">
        <v>19</v>
      </c>
      <c r="B392" s="2" t="s">
        <v>27</v>
      </c>
      <c r="C392" s="3" t="s">
        <v>46</v>
      </c>
      <c r="D392" s="3" t="s">
        <v>51</v>
      </c>
      <c r="E392" s="2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4">
        <v>45505</v>
      </c>
      <c r="N392" s="5">
        <v>8</v>
      </c>
      <c r="O392" s="3" t="s">
        <v>37</v>
      </c>
      <c r="P392" s="6" t="s">
        <v>24</v>
      </c>
      <c r="Q392" s="14">
        <f t="shared" si="18"/>
        <v>45505</v>
      </c>
      <c r="R392" s="15">
        <f t="shared" si="19"/>
        <v>0.19254658385093168</v>
      </c>
      <c r="S392" s="16">
        <f t="shared" si="20"/>
        <v>0.08</v>
      </c>
    </row>
    <row r="393" spans="1:19">
      <c r="A393" s="1" t="s">
        <v>19</v>
      </c>
      <c r="B393" s="2" t="s">
        <v>25</v>
      </c>
      <c r="C393" s="3" t="s">
        <v>46</v>
      </c>
      <c r="D393" s="3" t="s">
        <v>51</v>
      </c>
      <c r="E393" s="2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4">
        <v>45505</v>
      </c>
      <c r="N393" s="5">
        <v>8</v>
      </c>
      <c r="O393" s="3" t="s">
        <v>37</v>
      </c>
      <c r="P393" s="6" t="s">
        <v>24</v>
      </c>
      <c r="Q393" s="14">
        <f t="shared" si="18"/>
        <v>45505</v>
      </c>
      <c r="R393" s="15">
        <f t="shared" si="19"/>
        <v>0.19254658385093168</v>
      </c>
      <c r="S393" s="16">
        <f t="shared" si="20"/>
        <v>0.08</v>
      </c>
    </row>
    <row r="394" spans="1:19">
      <c r="A394" s="1" t="s">
        <v>36</v>
      </c>
      <c r="B394" s="2" t="s">
        <v>20</v>
      </c>
      <c r="C394" s="3" t="s">
        <v>46</v>
      </c>
      <c r="D394" s="3" t="s">
        <v>51</v>
      </c>
      <c r="E394" s="2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4">
        <v>45536</v>
      </c>
      <c r="N394" s="5">
        <v>9</v>
      </c>
      <c r="O394" s="3" t="s">
        <v>38</v>
      </c>
      <c r="P394" s="6" t="s">
        <v>24</v>
      </c>
      <c r="Q394" s="14">
        <f t="shared" si="18"/>
        <v>45536</v>
      </c>
      <c r="R394" s="15">
        <f t="shared" si="19"/>
        <v>9.420289855072464E-2</v>
      </c>
      <c r="S394" s="16">
        <f t="shared" si="20"/>
        <v>0.08</v>
      </c>
    </row>
    <row r="395" spans="1:19">
      <c r="A395" s="1" t="s">
        <v>36</v>
      </c>
      <c r="B395" s="2" t="s">
        <v>41</v>
      </c>
      <c r="C395" s="3" t="s">
        <v>46</v>
      </c>
      <c r="D395" s="3" t="s">
        <v>51</v>
      </c>
      <c r="E395" s="2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4">
        <v>45261</v>
      </c>
      <c r="N395" s="5">
        <v>12</v>
      </c>
      <c r="O395" s="3" t="s">
        <v>30</v>
      </c>
      <c r="P395" s="6" t="s">
        <v>40</v>
      </c>
      <c r="Q395" s="14">
        <f t="shared" si="18"/>
        <v>45261</v>
      </c>
      <c r="R395" s="15">
        <f t="shared" si="19"/>
        <v>9.420289855072464E-2</v>
      </c>
      <c r="S395" s="16">
        <f t="shared" si="20"/>
        <v>0.08</v>
      </c>
    </row>
    <row r="396" spans="1:19">
      <c r="A396" s="1" t="s">
        <v>19</v>
      </c>
      <c r="B396" s="2" t="s">
        <v>20</v>
      </c>
      <c r="C396" s="3" t="s">
        <v>48</v>
      </c>
      <c r="D396" s="3" t="s">
        <v>51</v>
      </c>
      <c r="E396" s="2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5947.2000000000007</v>
      </c>
      <c r="M396" s="4">
        <v>45444</v>
      </c>
      <c r="N396" s="5">
        <v>6</v>
      </c>
      <c r="O396" s="3" t="s">
        <v>28</v>
      </c>
      <c r="P396" s="6" t="s">
        <v>24</v>
      </c>
      <c r="Q396" s="14">
        <f t="shared" si="18"/>
        <v>45444</v>
      </c>
      <c r="R396" s="15">
        <f t="shared" si="19"/>
        <v>0.45652173913043481</v>
      </c>
      <c r="S396" s="16">
        <f t="shared" si="20"/>
        <v>0.08</v>
      </c>
    </row>
    <row r="397" spans="1:19">
      <c r="A397" s="1" t="s">
        <v>19</v>
      </c>
      <c r="B397" s="2" t="s">
        <v>41</v>
      </c>
      <c r="C397" s="3" t="s">
        <v>48</v>
      </c>
      <c r="D397" s="3" t="s">
        <v>51</v>
      </c>
      <c r="E397" s="2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4186.0800000000017</v>
      </c>
      <c r="M397" s="4">
        <v>45444</v>
      </c>
      <c r="N397" s="5">
        <v>6</v>
      </c>
      <c r="O397" s="3" t="s">
        <v>28</v>
      </c>
      <c r="P397" s="6" t="s">
        <v>24</v>
      </c>
      <c r="Q397" s="14">
        <f t="shared" si="18"/>
        <v>45444</v>
      </c>
      <c r="R397" s="15">
        <f t="shared" si="19"/>
        <v>0.22360248447204975</v>
      </c>
      <c r="S397" s="16">
        <f t="shared" si="20"/>
        <v>0.08</v>
      </c>
    </row>
    <row r="398" spans="1:19">
      <c r="A398" s="1" t="s">
        <v>19</v>
      </c>
      <c r="B398" s="2" t="s">
        <v>25</v>
      </c>
      <c r="C398" s="3" t="s">
        <v>48</v>
      </c>
      <c r="D398" s="3" t="s">
        <v>51</v>
      </c>
      <c r="E398" s="2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11474.400000000001</v>
      </c>
      <c r="M398" s="4">
        <v>45444</v>
      </c>
      <c r="N398" s="5">
        <v>6</v>
      </c>
      <c r="O398" s="3" t="s">
        <v>28</v>
      </c>
      <c r="P398" s="6" t="s">
        <v>24</v>
      </c>
      <c r="Q398" s="14">
        <f t="shared" si="18"/>
        <v>45444</v>
      </c>
      <c r="R398" s="15">
        <f t="shared" si="19"/>
        <v>0.45652173913043481</v>
      </c>
      <c r="S398" s="16">
        <f t="shared" si="20"/>
        <v>0.08</v>
      </c>
    </row>
    <row r="399" spans="1:19">
      <c r="A399" s="1" t="s">
        <v>36</v>
      </c>
      <c r="B399" s="2" t="s">
        <v>29</v>
      </c>
      <c r="C399" s="3" t="s">
        <v>48</v>
      </c>
      <c r="D399" s="3" t="s">
        <v>51</v>
      </c>
      <c r="E399" s="2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4">
        <v>45444</v>
      </c>
      <c r="N399" s="5">
        <v>6</v>
      </c>
      <c r="O399" s="3" t="s">
        <v>28</v>
      </c>
      <c r="P399" s="6" t="s">
        <v>24</v>
      </c>
      <c r="Q399" s="14">
        <f t="shared" si="18"/>
        <v>45444</v>
      </c>
      <c r="R399" s="15">
        <f t="shared" si="19"/>
        <v>9.420289855072464E-2</v>
      </c>
      <c r="S399" s="16">
        <f t="shared" si="20"/>
        <v>0.08</v>
      </c>
    </row>
    <row r="400" spans="1:19">
      <c r="A400" s="1" t="s">
        <v>19</v>
      </c>
      <c r="B400" s="2" t="s">
        <v>25</v>
      </c>
      <c r="C400" s="3" t="s">
        <v>48</v>
      </c>
      <c r="D400" s="3" t="s">
        <v>51</v>
      </c>
      <c r="E400" s="2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4">
        <v>45597</v>
      </c>
      <c r="N400" s="5">
        <v>11</v>
      </c>
      <c r="O400" s="3" t="s">
        <v>44</v>
      </c>
      <c r="P400" s="6" t="s">
        <v>24</v>
      </c>
      <c r="Q400" s="14">
        <f t="shared" si="18"/>
        <v>45597</v>
      </c>
      <c r="R400" s="15">
        <f t="shared" si="19"/>
        <v>0.45652173913043476</v>
      </c>
      <c r="S400" s="16">
        <f t="shared" si="20"/>
        <v>0.08</v>
      </c>
    </row>
    <row r="401" spans="1:19">
      <c r="A401" s="1" t="s">
        <v>26</v>
      </c>
      <c r="B401" s="2" t="s">
        <v>25</v>
      </c>
      <c r="C401" s="3" t="s">
        <v>48</v>
      </c>
      <c r="D401" s="3" t="s">
        <v>51</v>
      </c>
      <c r="E401" s="2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2701.7999999999993</v>
      </c>
      <c r="M401" s="4">
        <v>45627</v>
      </c>
      <c r="N401" s="5">
        <v>12</v>
      </c>
      <c r="O401" s="3" t="s">
        <v>30</v>
      </c>
      <c r="P401" s="6" t="s">
        <v>24</v>
      </c>
      <c r="Q401" s="14">
        <f t="shared" si="18"/>
        <v>45627</v>
      </c>
      <c r="R401" s="15">
        <f t="shared" si="19"/>
        <v>0.27536231884057966</v>
      </c>
      <c r="S401" s="16">
        <f t="shared" si="20"/>
        <v>0.08</v>
      </c>
    </row>
    <row r="402" spans="1:19">
      <c r="A402" s="1" t="s">
        <v>33</v>
      </c>
      <c r="B402" s="2" t="s">
        <v>29</v>
      </c>
      <c r="C402" s="3" t="s">
        <v>48</v>
      </c>
      <c r="D402" s="3" t="s">
        <v>51</v>
      </c>
      <c r="E402" s="2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4">
        <v>45261</v>
      </c>
      <c r="N402" s="5">
        <v>12</v>
      </c>
      <c r="O402" s="3" t="s">
        <v>30</v>
      </c>
      <c r="P402" s="6" t="s">
        <v>40</v>
      </c>
      <c r="Q402" s="14">
        <f t="shared" si="18"/>
        <v>45261</v>
      </c>
      <c r="R402" s="15">
        <f t="shared" si="19"/>
        <v>0.72826086956521741</v>
      </c>
      <c r="S402" s="16">
        <f t="shared" si="20"/>
        <v>0.08</v>
      </c>
    </row>
    <row r="403" spans="1:19">
      <c r="A403" s="1" t="s">
        <v>36</v>
      </c>
      <c r="B403" s="2" t="s">
        <v>29</v>
      </c>
      <c r="C403" s="3" t="s">
        <v>48</v>
      </c>
      <c r="D403" s="3" t="s">
        <v>51</v>
      </c>
      <c r="E403" s="2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4">
        <v>45627</v>
      </c>
      <c r="N403" s="5">
        <v>12</v>
      </c>
      <c r="O403" s="3" t="s">
        <v>30</v>
      </c>
      <c r="P403" s="6" t="s">
        <v>24</v>
      </c>
      <c r="Q403" s="14">
        <f t="shared" si="18"/>
        <v>45627</v>
      </c>
      <c r="R403" s="15">
        <f t="shared" si="19"/>
        <v>9.420289855072464E-2</v>
      </c>
      <c r="S403" s="16">
        <f t="shared" si="20"/>
        <v>0.08</v>
      </c>
    </row>
    <row r="404" spans="1:19">
      <c r="A404" s="1" t="s">
        <v>19</v>
      </c>
      <c r="B404" s="2" t="s">
        <v>41</v>
      </c>
      <c r="C404" s="3" t="s">
        <v>46</v>
      </c>
      <c r="D404" s="3" t="s">
        <v>51</v>
      </c>
      <c r="E404" s="2">
        <v>436.5</v>
      </c>
      <c r="F404" s="3">
        <v>250</v>
      </c>
      <c r="G404" s="3">
        <v>20</v>
      </c>
      <c r="H404" s="3">
        <v>8730</v>
      </c>
      <c r="I404" s="3">
        <v>698.40000000000009</v>
      </c>
      <c r="J404" s="3">
        <v>8031.5999999999995</v>
      </c>
      <c r="K404" s="3">
        <v>4365</v>
      </c>
      <c r="L404" s="3">
        <v>3666.5999999999995</v>
      </c>
      <c r="M404" s="4">
        <v>45474</v>
      </c>
      <c r="N404" s="5">
        <v>7</v>
      </c>
      <c r="O404" s="3" t="s">
        <v>35</v>
      </c>
      <c r="P404" s="6" t="s">
        <v>24</v>
      </c>
      <c r="Q404" s="14">
        <f t="shared" si="18"/>
        <v>45474</v>
      </c>
      <c r="R404" s="15">
        <f t="shared" si="19"/>
        <v>0.45652173913043476</v>
      </c>
      <c r="S404" s="16">
        <f t="shared" si="20"/>
        <v>8.0000000000000016E-2</v>
      </c>
    </row>
    <row r="405" spans="1:19">
      <c r="A405" s="1" t="s">
        <v>36</v>
      </c>
      <c r="B405" s="2" t="s">
        <v>20</v>
      </c>
      <c r="C405" s="3" t="s">
        <v>21</v>
      </c>
      <c r="D405" s="3" t="s">
        <v>51</v>
      </c>
      <c r="E405" s="2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4">
        <v>45444</v>
      </c>
      <c r="N405" s="5">
        <v>6</v>
      </c>
      <c r="O405" s="3" t="s">
        <v>28</v>
      </c>
      <c r="P405" s="6" t="s">
        <v>24</v>
      </c>
      <c r="Q405" s="14">
        <f t="shared" si="18"/>
        <v>45444</v>
      </c>
      <c r="R405" s="15">
        <f t="shared" si="19"/>
        <v>8.4249084249084255E-2</v>
      </c>
      <c r="S405" s="16">
        <f t="shared" si="20"/>
        <v>0.09</v>
      </c>
    </row>
    <row r="406" spans="1:19">
      <c r="A406" s="1" t="s">
        <v>33</v>
      </c>
      <c r="B406" s="2" t="s">
        <v>29</v>
      </c>
      <c r="C406" s="3" t="s">
        <v>21</v>
      </c>
      <c r="D406" s="3" t="s">
        <v>51</v>
      </c>
      <c r="E406" s="2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4">
        <v>45200</v>
      </c>
      <c r="N406" s="5">
        <v>10</v>
      </c>
      <c r="O406" s="3" t="s">
        <v>39</v>
      </c>
      <c r="P406" s="6" t="s">
        <v>40</v>
      </c>
      <c r="Q406" s="14">
        <f t="shared" si="18"/>
        <v>45200</v>
      </c>
      <c r="R406" s="15">
        <f t="shared" si="19"/>
        <v>0.72527472527472525</v>
      </c>
      <c r="S406" s="16">
        <f t="shared" si="20"/>
        <v>0.09</v>
      </c>
    </row>
    <row r="407" spans="1:19">
      <c r="A407" s="1" t="s">
        <v>36</v>
      </c>
      <c r="B407" s="2" t="s">
        <v>20</v>
      </c>
      <c r="C407" s="3" t="s">
        <v>31</v>
      </c>
      <c r="D407" s="3" t="s">
        <v>51</v>
      </c>
      <c r="E407" s="2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4">
        <v>45383</v>
      </c>
      <c r="N407" s="5">
        <v>4</v>
      </c>
      <c r="O407" s="3" t="s">
        <v>47</v>
      </c>
      <c r="P407" s="6" t="s">
        <v>24</v>
      </c>
      <c r="Q407" s="14">
        <f t="shared" si="18"/>
        <v>45383</v>
      </c>
      <c r="R407" s="15">
        <f t="shared" si="19"/>
        <v>8.4249084249084255E-2</v>
      </c>
      <c r="S407" s="16">
        <f t="shared" si="20"/>
        <v>0.09</v>
      </c>
    </row>
    <row r="408" spans="1:19">
      <c r="A408" s="1" t="s">
        <v>19</v>
      </c>
      <c r="B408" s="2" t="s">
        <v>27</v>
      </c>
      <c r="C408" s="3" t="s">
        <v>31</v>
      </c>
      <c r="D408" s="3" t="s">
        <v>51</v>
      </c>
      <c r="E408" s="2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4">
        <v>45413</v>
      </c>
      <c r="N408" s="5">
        <v>5</v>
      </c>
      <c r="O408" s="3" t="s">
        <v>50</v>
      </c>
      <c r="P408" s="6" t="s">
        <v>24</v>
      </c>
      <c r="Q408" s="14">
        <f t="shared" si="18"/>
        <v>45413</v>
      </c>
      <c r="R408" s="15">
        <f t="shared" si="19"/>
        <v>0.18367346938775511</v>
      </c>
      <c r="S408" s="16">
        <f t="shared" si="20"/>
        <v>0.09</v>
      </c>
    </row>
    <row r="409" spans="1:19">
      <c r="A409" s="1" t="s">
        <v>36</v>
      </c>
      <c r="B409" s="2" t="s">
        <v>27</v>
      </c>
      <c r="C409" s="3" t="s">
        <v>31</v>
      </c>
      <c r="D409" s="3" t="s">
        <v>51</v>
      </c>
      <c r="E409" s="2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4">
        <v>45170</v>
      </c>
      <c r="N409" s="5">
        <v>9</v>
      </c>
      <c r="O409" s="3" t="s">
        <v>38</v>
      </c>
      <c r="P409" s="6" t="s">
        <v>40</v>
      </c>
      <c r="Q409" s="14">
        <f t="shared" si="18"/>
        <v>45170</v>
      </c>
      <c r="R409" s="15">
        <f t="shared" si="19"/>
        <v>8.4249084249084255E-2</v>
      </c>
      <c r="S409" s="16">
        <f t="shared" si="20"/>
        <v>0.09</v>
      </c>
    </row>
    <row r="410" spans="1:19">
      <c r="A410" s="1" t="s">
        <v>33</v>
      </c>
      <c r="B410" s="2" t="s">
        <v>20</v>
      </c>
      <c r="C410" s="3" t="s">
        <v>31</v>
      </c>
      <c r="D410" s="3" t="s">
        <v>51</v>
      </c>
      <c r="E410" s="2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4">
        <v>45597</v>
      </c>
      <c r="N410" s="5">
        <v>11</v>
      </c>
      <c r="O410" s="3" t="s">
        <v>44</v>
      </c>
      <c r="P410" s="6" t="s">
        <v>24</v>
      </c>
      <c r="Q410" s="14">
        <f t="shared" si="18"/>
        <v>45597</v>
      </c>
      <c r="R410" s="15">
        <f t="shared" si="19"/>
        <v>0.72527472527472525</v>
      </c>
      <c r="S410" s="16">
        <f t="shared" si="20"/>
        <v>0.09</v>
      </c>
    </row>
    <row r="411" spans="1:19">
      <c r="A411" s="1" t="s">
        <v>34</v>
      </c>
      <c r="B411" s="2" t="s">
        <v>27</v>
      </c>
      <c r="C411" s="3" t="s">
        <v>31</v>
      </c>
      <c r="D411" s="3" t="s">
        <v>51</v>
      </c>
      <c r="E411" s="2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4">
        <v>45231</v>
      </c>
      <c r="N411" s="5">
        <v>11</v>
      </c>
      <c r="O411" s="3" t="s">
        <v>44</v>
      </c>
      <c r="P411" s="6" t="s">
        <v>40</v>
      </c>
      <c r="Q411" s="14">
        <f t="shared" si="18"/>
        <v>45231</v>
      </c>
      <c r="R411" s="15">
        <f t="shared" si="19"/>
        <v>-5.4945054945054944E-2</v>
      </c>
      <c r="S411" s="16">
        <f t="shared" si="20"/>
        <v>0.09</v>
      </c>
    </row>
    <row r="412" spans="1:19">
      <c r="A412" s="1" t="s">
        <v>19</v>
      </c>
      <c r="B412" s="2" t="s">
        <v>20</v>
      </c>
      <c r="C412" s="3" t="s">
        <v>31</v>
      </c>
      <c r="D412" s="3" t="s">
        <v>51</v>
      </c>
      <c r="E412" s="2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2207.0699999999997</v>
      </c>
      <c r="M412" s="4">
        <v>45261</v>
      </c>
      <c r="N412" s="5">
        <v>12</v>
      </c>
      <c r="O412" s="3" t="s">
        <v>30</v>
      </c>
      <c r="P412" s="6" t="s">
        <v>40</v>
      </c>
      <c r="Q412" s="14">
        <f t="shared" si="18"/>
        <v>45261</v>
      </c>
      <c r="R412" s="15">
        <f t="shared" si="19"/>
        <v>0.21507064364207218</v>
      </c>
      <c r="S412" s="16">
        <f t="shared" si="20"/>
        <v>0.09</v>
      </c>
    </row>
    <row r="413" spans="1:19">
      <c r="A413" s="1" t="s">
        <v>34</v>
      </c>
      <c r="B413" s="2" t="s">
        <v>41</v>
      </c>
      <c r="C413" s="3" t="s">
        <v>31</v>
      </c>
      <c r="D413" s="3" t="s">
        <v>51</v>
      </c>
      <c r="E413" s="2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4">
        <v>45627</v>
      </c>
      <c r="N413" s="5">
        <v>12</v>
      </c>
      <c r="O413" s="3" t="s">
        <v>30</v>
      </c>
      <c r="P413" s="6" t="s">
        <v>24</v>
      </c>
      <c r="Q413" s="14">
        <f t="shared" si="18"/>
        <v>45627</v>
      </c>
      <c r="R413" s="15">
        <f t="shared" si="19"/>
        <v>-5.4945054945054944E-2</v>
      </c>
      <c r="S413" s="16">
        <f t="shared" si="20"/>
        <v>0.09</v>
      </c>
    </row>
    <row r="414" spans="1:19">
      <c r="A414" s="1" t="s">
        <v>36</v>
      </c>
      <c r="B414" s="2" t="s">
        <v>25</v>
      </c>
      <c r="C414" s="3" t="s">
        <v>31</v>
      </c>
      <c r="D414" s="3" t="s">
        <v>51</v>
      </c>
      <c r="E414" s="2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4">
        <v>45261</v>
      </c>
      <c r="N414" s="5">
        <v>12</v>
      </c>
      <c r="O414" s="3" t="s">
        <v>30</v>
      </c>
      <c r="P414" s="6" t="s">
        <v>40</v>
      </c>
      <c r="Q414" s="14">
        <f t="shared" si="18"/>
        <v>45261</v>
      </c>
      <c r="R414" s="15">
        <f t="shared" si="19"/>
        <v>8.4249084249084255E-2</v>
      </c>
      <c r="S414" s="16">
        <f t="shared" si="20"/>
        <v>0.09</v>
      </c>
    </row>
    <row r="415" spans="1:19">
      <c r="A415" s="1" t="s">
        <v>36</v>
      </c>
      <c r="B415" s="2" t="s">
        <v>29</v>
      </c>
      <c r="C415" s="3" t="s">
        <v>42</v>
      </c>
      <c r="D415" s="3" t="s">
        <v>51</v>
      </c>
      <c r="E415" s="2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4">
        <v>45292</v>
      </c>
      <c r="N415" s="5">
        <v>1</v>
      </c>
      <c r="O415" s="3" t="s">
        <v>23</v>
      </c>
      <c r="P415" s="6" t="s">
        <v>24</v>
      </c>
      <c r="Q415" s="14">
        <f t="shared" si="18"/>
        <v>45292</v>
      </c>
      <c r="R415" s="15">
        <f t="shared" si="19"/>
        <v>8.4249084249084255E-2</v>
      </c>
      <c r="S415" s="16">
        <f t="shared" si="20"/>
        <v>0.09</v>
      </c>
    </row>
    <row r="416" spans="1:19">
      <c r="A416" s="1" t="s">
        <v>19</v>
      </c>
      <c r="B416" s="2" t="s">
        <v>29</v>
      </c>
      <c r="C416" s="3" t="s">
        <v>42</v>
      </c>
      <c r="D416" s="3" t="s">
        <v>51</v>
      </c>
      <c r="E416" s="2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4">
        <v>45292</v>
      </c>
      <c r="N416" s="5">
        <v>1</v>
      </c>
      <c r="O416" s="3" t="s">
        <v>23</v>
      </c>
      <c r="P416" s="6" t="s">
        <v>24</v>
      </c>
      <c r="Q416" s="14">
        <f t="shared" si="18"/>
        <v>45292</v>
      </c>
      <c r="R416" s="15">
        <f t="shared" si="19"/>
        <v>0.18367346938775511</v>
      </c>
      <c r="S416" s="16">
        <f t="shared" si="20"/>
        <v>0.09</v>
      </c>
    </row>
    <row r="417" spans="1:19">
      <c r="A417" s="1" t="s">
        <v>26</v>
      </c>
      <c r="B417" s="2" t="s">
        <v>41</v>
      </c>
      <c r="C417" s="3" t="s">
        <v>42</v>
      </c>
      <c r="D417" s="3" t="s">
        <v>51</v>
      </c>
      <c r="E417" s="2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4">
        <v>45383</v>
      </c>
      <c r="N417" s="5">
        <v>4</v>
      </c>
      <c r="O417" s="3" t="s">
        <v>47</v>
      </c>
      <c r="P417" s="6" t="s">
        <v>24</v>
      </c>
      <c r="Q417" s="14">
        <f t="shared" si="18"/>
        <v>45383</v>
      </c>
      <c r="R417" s="15">
        <f t="shared" si="19"/>
        <v>0.26739926739926739</v>
      </c>
      <c r="S417" s="16">
        <f t="shared" si="20"/>
        <v>0.09</v>
      </c>
    </row>
    <row r="418" spans="1:19">
      <c r="A418" s="1" t="s">
        <v>36</v>
      </c>
      <c r="B418" s="2" t="s">
        <v>20</v>
      </c>
      <c r="C418" s="3" t="s">
        <v>42</v>
      </c>
      <c r="D418" s="3" t="s">
        <v>51</v>
      </c>
      <c r="E418" s="2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4">
        <v>45444</v>
      </c>
      <c r="N418" s="5">
        <v>6</v>
      </c>
      <c r="O418" s="3" t="s">
        <v>28</v>
      </c>
      <c r="P418" s="6" t="s">
        <v>24</v>
      </c>
      <c r="Q418" s="14">
        <f t="shared" si="18"/>
        <v>45444</v>
      </c>
      <c r="R418" s="15">
        <f t="shared" si="19"/>
        <v>8.4249084249084255E-2</v>
      </c>
      <c r="S418" s="16">
        <f t="shared" si="20"/>
        <v>0.09</v>
      </c>
    </row>
    <row r="419" spans="1:19">
      <c r="A419" s="1" t="s">
        <v>26</v>
      </c>
      <c r="B419" s="2" t="s">
        <v>27</v>
      </c>
      <c r="C419" s="3" t="s">
        <v>42</v>
      </c>
      <c r="D419" s="3" t="s">
        <v>51</v>
      </c>
      <c r="E419" s="2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4478.5499999999993</v>
      </c>
      <c r="M419" s="4">
        <v>45566</v>
      </c>
      <c r="N419" s="5">
        <v>10</v>
      </c>
      <c r="O419" s="3" t="s">
        <v>39</v>
      </c>
      <c r="P419" s="6" t="s">
        <v>24</v>
      </c>
      <c r="Q419" s="14">
        <f t="shared" si="18"/>
        <v>45566</v>
      </c>
      <c r="R419" s="15">
        <f t="shared" si="19"/>
        <v>0.26739926739926739</v>
      </c>
      <c r="S419" s="16">
        <f t="shared" si="20"/>
        <v>0.09</v>
      </c>
    </row>
    <row r="420" spans="1:19">
      <c r="A420" s="1" t="s">
        <v>33</v>
      </c>
      <c r="B420" s="2" t="s">
        <v>29</v>
      </c>
      <c r="C420" s="3" t="s">
        <v>42</v>
      </c>
      <c r="D420" s="3" t="s">
        <v>51</v>
      </c>
      <c r="E420" s="2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4">
        <v>45200</v>
      </c>
      <c r="N420" s="5">
        <v>10</v>
      </c>
      <c r="O420" s="3" t="s">
        <v>39</v>
      </c>
      <c r="P420" s="6" t="s">
        <v>40</v>
      </c>
      <c r="Q420" s="14">
        <f t="shared" si="18"/>
        <v>45200</v>
      </c>
      <c r="R420" s="15">
        <f t="shared" si="19"/>
        <v>0.72527472527472525</v>
      </c>
      <c r="S420" s="16">
        <f t="shared" si="20"/>
        <v>0.09</v>
      </c>
    </row>
    <row r="421" spans="1:19">
      <c r="A421" s="1" t="s">
        <v>36</v>
      </c>
      <c r="B421" s="2" t="s">
        <v>27</v>
      </c>
      <c r="C421" s="3" t="s">
        <v>42</v>
      </c>
      <c r="D421" s="3" t="s">
        <v>51</v>
      </c>
      <c r="E421" s="2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4">
        <v>45597</v>
      </c>
      <c r="N421" s="5">
        <v>11</v>
      </c>
      <c r="O421" s="3" t="s">
        <v>44</v>
      </c>
      <c r="P421" s="6" t="s">
        <v>24</v>
      </c>
      <c r="Q421" s="14">
        <f t="shared" si="18"/>
        <v>45597</v>
      </c>
      <c r="R421" s="15">
        <f t="shared" si="19"/>
        <v>8.4249084249084255E-2</v>
      </c>
      <c r="S421" s="16">
        <f t="shared" si="20"/>
        <v>0.09</v>
      </c>
    </row>
    <row r="422" spans="1:19">
      <c r="A422" s="1" t="s">
        <v>33</v>
      </c>
      <c r="B422" s="2" t="s">
        <v>25</v>
      </c>
      <c r="C422" s="3" t="s">
        <v>42</v>
      </c>
      <c r="D422" s="3" t="s">
        <v>51</v>
      </c>
      <c r="E422" s="2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4">
        <v>45231</v>
      </c>
      <c r="N422" s="5">
        <v>11</v>
      </c>
      <c r="O422" s="3" t="s">
        <v>44</v>
      </c>
      <c r="P422" s="6" t="s">
        <v>40</v>
      </c>
      <c r="Q422" s="14">
        <f t="shared" si="18"/>
        <v>45231</v>
      </c>
      <c r="R422" s="15">
        <f t="shared" si="19"/>
        <v>0.72527472527472525</v>
      </c>
      <c r="S422" s="16">
        <f t="shared" si="20"/>
        <v>0.09</v>
      </c>
    </row>
    <row r="423" spans="1:19">
      <c r="A423" s="1" t="s">
        <v>34</v>
      </c>
      <c r="B423" s="2" t="s">
        <v>41</v>
      </c>
      <c r="C423" s="3" t="s">
        <v>42</v>
      </c>
      <c r="D423" s="3" t="s">
        <v>51</v>
      </c>
      <c r="E423" s="2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4">
        <v>45627</v>
      </c>
      <c r="N423" s="5">
        <v>12</v>
      </c>
      <c r="O423" s="3" t="s">
        <v>30</v>
      </c>
      <c r="P423" s="6" t="s">
        <v>24</v>
      </c>
      <c r="Q423" s="14">
        <f t="shared" si="18"/>
        <v>45627</v>
      </c>
      <c r="R423" s="15">
        <f t="shared" si="19"/>
        <v>-5.4945054945054944E-2</v>
      </c>
      <c r="S423" s="16">
        <f t="shared" si="20"/>
        <v>0.09</v>
      </c>
    </row>
    <row r="424" spans="1:19">
      <c r="A424" s="1" t="s">
        <v>26</v>
      </c>
      <c r="B424" s="2" t="s">
        <v>29</v>
      </c>
      <c r="C424" s="3" t="s">
        <v>45</v>
      </c>
      <c r="D424" s="3" t="s">
        <v>51</v>
      </c>
      <c r="E424" s="2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4">
        <v>45413</v>
      </c>
      <c r="N424" s="5">
        <v>5</v>
      </c>
      <c r="O424" s="3" t="s">
        <v>50</v>
      </c>
      <c r="P424" s="6" t="s">
        <v>24</v>
      </c>
      <c r="Q424" s="14">
        <f t="shared" si="18"/>
        <v>45413</v>
      </c>
      <c r="R424" s="15">
        <f t="shared" si="19"/>
        <v>0.26739926739926739</v>
      </c>
      <c r="S424" s="16">
        <f t="shared" si="20"/>
        <v>0.09</v>
      </c>
    </row>
    <row r="425" spans="1:19">
      <c r="A425" s="1" t="s">
        <v>36</v>
      </c>
      <c r="B425" s="2" t="s">
        <v>20</v>
      </c>
      <c r="C425" s="3" t="s">
        <v>45</v>
      </c>
      <c r="D425" s="3" t="s">
        <v>51</v>
      </c>
      <c r="E425" s="2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4">
        <v>45474</v>
      </c>
      <c r="N425" s="5">
        <v>7</v>
      </c>
      <c r="O425" s="3" t="s">
        <v>35</v>
      </c>
      <c r="P425" s="6" t="s">
        <v>24</v>
      </c>
      <c r="Q425" s="14">
        <f t="shared" si="18"/>
        <v>45474</v>
      </c>
      <c r="R425" s="15">
        <f t="shared" si="19"/>
        <v>8.4249084249084255E-2</v>
      </c>
      <c r="S425" s="16">
        <f t="shared" si="20"/>
        <v>0.09</v>
      </c>
    </row>
    <row r="426" spans="1:19">
      <c r="A426" s="1" t="s">
        <v>19</v>
      </c>
      <c r="B426" s="2" t="s">
        <v>25</v>
      </c>
      <c r="C426" s="3" t="s">
        <v>45</v>
      </c>
      <c r="D426" s="3" t="s">
        <v>51</v>
      </c>
      <c r="E426" s="2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4">
        <v>45474</v>
      </c>
      <c r="N426" s="5">
        <v>7</v>
      </c>
      <c r="O426" s="3" t="s">
        <v>35</v>
      </c>
      <c r="P426" s="6" t="s">
        <v>24</v>
      </c>
      <c r="Q426" s="14">
        <f t="shared" si="18"/>
        <v>45474</v>
      </c>
      <c r="R426" s="15">
        <f t="shared" si="19"/>
        <v>0.18367346938775511</v>
      </c>
      <c r="S426" s="16">
        <f t="shared" si="20"/>
        <v>0.09</v>
      </c>
    </row>
    <row r="427" spans="1:19">
      <c r="A427" s="1" t="s">
        <v>34</v>
      </c>
      <c r="B427" s="2" t="s">
        <v>20</v>
      </c>
      <c r="C427" s="3" t="s">
        <v>45</v>
      </c>
      <c r="D427" s="3" t="s">
        <v>51</v>
      </c>
      <c r="E427" s="2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4">
        <v>45536</v>
      </c>
      <c r="N427" s="5">
        <v>9</v>
      </c>
      <c r="O427" s="3" t="s">
        <v>38</v>
      </c>
      <c r="P427" s="6" t="s">
        <v>24</v>
      </c>
      <c r="Q427" s="14">
        <f t="shared" si="18"/>
        <v>45536</v>
      </c>
      <c r="R427" s="15">
        <f t="shared" si="19"/>
        <v>-5.4945054945054944E-2</v>
      </c>
      <c r="S427" s="16">
        <f t="shared" si="20"/>
        <v>0.09</v>
      </c>
    </row>
    <row r="428" spans="1:19">
      <c r="A428" s="1" t="s">
        <v>34</v>
      </c>
      <c r="B428" s="2" t="s">
        <v>29</v>
      </c>
      <c r="C428" s="3" t="s">
        <v>45</v>
      </c>
      <c r="D428" s="3" t="s">
        <v>51</v>
      </c>
      <c r="E428" s="2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4">
        <v>45536</v>
      </c>
      <c r="N428" s="5">
        <v>9</v>
      </c>
      <c r="O428" s="3" t="s">
        <v>38</v>
      </c>
      <c r="P428" s="6" t="s">
        <v>24</v>
      </c>
      <c r="Q428" s="14">
        <f t="shared" si="18"/>
        <v>45536</v>
      </c>
      <c r="R428" s="15">
        <f t="shared" si="19"/>
        <v>-5.4945054945054944E-2</v>
      </c>
      <c r="S428" s="16">
        <f t="shared" si="20"/>
        <v>0.09</v>
      </c>
    </row>
    <row r="429" spans="1:19">
      <c r="A429" s="1" t="s">
        <v>19</v>
      </c>
      <c r="B429" s="2" t="s">
        <v>20</v>
      </c>
      <c r="C429" s="3" t="s">
        <v>45</v>
      </c>
      <c r="D429" s="3" t="s">
        <v>51</v>
      </c>
      <c r="E429" s="2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4">
        <v>45566</v>
      </c>
      <c r="N429" s="5">
        <v>10</v>
      </c>
      <c r="O429" s="3" t="s">
        <v>39</v>
      </c>
      <c r="P429" s="6" t="s">
        <v>24</v>
      </c>
      <c r="Q429" s="14">
        <f t="shared" si="18"/>
        <v>45566</v>
      </c>
      <c r="R429" s="15">
        <f t="shared" si="19"/>
        <v>0.18367346938775511</v>
      </c>
      <c r="S429" s="16">
        <f t="shared" si="20"/>
        <v>0.09</v>
      </c>
    </row>
    <row r="430" spans="1:19">
      <c r="A430" s="1" t="s">
        <v>33</v>
      </c>
      <c r="B430" s="2" t="s">
        <v>41</v>
      </c>
      <c r="C430" s="3" t="s">
        <v>46</v>
      </c>
      <c r="D430" s="3" t="s">
        <v>51</v>
      </c>
      <c r="E430" s="2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4">
        <v>45292</v>
      </c>
      <c r="N430" s="5">
        <v>1</v>
      </c>
      <c r="O430" s="3" t="s">
        <v>23</v>
      </c>
      <c r="P430" s="6" t="s">
        <v>24</v>
      </c>
      <c r="Q430" s="14">
        <f t="shared" si="18"/>
        <v>45292</v>
      </c>
      <c r="R430" s="15">
        <f t="shared" si="19"/>
        <v>0.72527472527472525</v>
      </c>
      <c r="S430" s="16">
        <f t="shared" si="20"/>
        <v>0.09</v>
      </c>
    </row>
    <row r="431" spans="1:19">
      <c r="A431" s="1" t="s">
        <v>36</v>
      </c>
      <c r="B431" s="2" t="s">
        <v>25</v>
      </c>
      <c r="C431" s="3" t="s">
        <v>46</v>
      </c>
      <c r="D431" s="3" t="s">
        <v>51</v>
      </c>
      <c r="E431" s="2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4">
        <v>45323</v>
      </c>
      <c r="N431" s="5">
        <v>2</v>
      </c>
      <c r="O431" s="3" t="s">
        <v>43</v>
      </c>
      <c r="P431" s="6" t="s">
        <v>24</v>
      </c>
      <c r="Q431" s="14">
        <f t="shared" si="18"/>
        <v>45323</v>
      </c>
      <c r="R431" s="15">
        <f t="shared" si="19"/>
        <v>8.4249084249084255E-2</v>
      </c>
      <c r="S431" s="16">
        <f t="shared" si="20"/>
        <v>0.09</v>
      </c>
    </row>
    <row r="432" spans="1:19">
      <c r="A432" s="1" t="s">
        <v>19</v>
      </c>
      <c r="B432" s="2" t="s">
        <v>41</v>
      </c>
      <c r="C432" s="3" t="s">
        <v>46</v>
      </c>
      <c r="D432" s="3" t="s">
        <v>51</v>
      </c>
      <c r="E432" s="2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4">
        <v>45383</v>
      </c>
      <c r="N432" s="5">
        <v>4</v>
      </c>
      <c r="O432" s="3" t="s">
        <v>47</v>
      </c>
      <c r="P432" s="6" t="s">
        <v>24</v>
      </c>
      <c r="Q432" s="14">
        <f t="shared" si="18"/>
        <v>45383</v>
      </c>
      <c r="R432" s="15">
        <f t="shared" si="19"/>
        <v>0.18367346938775511</v>
      </c>
      <c r="S432" s="16">
        <f t="shared" si="20"/>
        <v>0.09</v>
      </c>
    </row>
    <row r="433" spans="1:19">
      <c r="A433" s="1" t="s">
        <v>33</v>
      </c>
      <c r="B433" s="2" t="s">
        <v>25</v>
      </c>
      <c r="C433" s="3" t="s">
        <v>46</v>
      </c>
      <c r="D433" s="3" t="s">
        <v>51</v>
      </c>
      <c r="E433" s="2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4">
        <v>45413</v>
      </c>
      <c r="N433" s="5">
        <v>5</v>
      </c>
      <c r="O433" s="3" t="s">
        <v>50</v>
      </c>
      <c r="P433" s="6" t="s">
        <v>24</v>
      </c>
      <c r="Q433" s="14">
        <f t="shared" si="18"/>
        <v>45413</v>
      </c>
      <c r="R433" s="15">
        <f t="shared" si="19"/>
        <v>0.72527472527472525</v>
      </c>
      <c r="S433" s="16">
        <f t="shared" si="20"/>
        <v>0.09</v>
      </c>
    </row>
    <row r="434" spans="1:19">
      <c r="A434" s="1" t="s">
        <v>36</v>
      </c>
      <c r="B434" s="2" t="s">
        <v>41</v>
      </c>
      <c r="C434" s="3" t="s">
        <v>46</v>
      </c>
      <c r="D434" s="3" t="s">
        <v>51</v>
      </c>
      <c r="E434" s="2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4">
        <v>45536</v>
      </c>
      <c r="N434" s="5">
        <v>9</v>
      </c>
      <c r="O434" s="3" t="s">
        <v>38</v>
      </c>
      <c r="P434" s="6" t="s">
        <v>24</v>
      </c>
      <c r="Q434" s="14">
        <f t="shared" si="18"/>
        <v>45536</v>
      </c>
      <c r="R434" s="15">
        <f t="shared" si="19"/>
        <v>8.4249084249084255E-2</v>
      </c>
      <c r="S434" s="16">
        <f t="shared" si="20"/>
        <v>0.09</v>
      </c>
    </row>
    <row r="435" spans="1:19">
      <c r="A435" s="1" t="s">
        <v>33</v>
      </c>
      <c r="B435" s="2" t="s">
        <v>27</v>
      </c>
      <c r="C435" s="3" t="s">
        <v>46</v>
      </c>
      <c r="D435" s="3" t="s">
        <v>51</v>
      </c>
      <c r="E435" s="2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4">
        <v>45170</v>
      </c>
      <c r="N435" s="5">
        <v>9</v>
      </c>
      <c r="O435" s="3" t="s">
        <v>38</v>
      </c>
      <c r="P435" s="6" t="s">
        <v>40</v>
      </c>
      <c r="Q435" s="14">
        <f t="shared" si="18"/>
        <v>45170</v>
      </c>
      <c r="R435" s="15">
        <f t="shared" si="19"/>
        <v>0.72527472527472525</v>
      </c>
      <c r="S435" s="16">
        <f t="shared" si="20"/>
        <v>0.09</v>
      </c>
    </row>
    <row r="436" spans="1:19">
      <c r="A436" s="1" t="s">
        <v>26</v>
      </c>
      <c r="B436" s="2" t="s">
        <v>27</v>
      </c>
      <c r="C436" s="3" t="s">
        <v>46</v>
      </c>
      <c r="D436" s="3" t="s">
        <v>51</v>
      </c>
      <c r="E436" s="2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4478.5499999999993</v>
      </c>
      <c r="M436" s="4">
        <v>45566</v>
      </c>
      <c r="N436" s="5">
        <v>10</v>
      </c>
      <c r="O436" s="3" t="s">
        <v>39</v>
      </c>
      <c r="P436" s="6" t="s">
        <v>24</v>
      </c>
      <c r="Q436" s="14">
        <f t="shared" si="18"/>
        <v>45566</v>
      </c>
      <c r="R436" s="15">
        <f t="shared" si="19"/>
        <v>0.26739926739926739</v>
      </c>
      <c r="S436" s="16">
        <f t="shared" si="20"/>
        <v>0.09</v>
      </c>
    </row>
    <row r="437" spans="1:19">
      <c r="A437" s="1" t="s">
        <v>34</v>
      </c>
      <c r="B437" s="2" t="s">
        <v>29</v>
      </c>
      <c r="C437" s="3" t="s">
        <v>46</v>
      </c>
      <c r="D437" s="3" t="s">
        <v>51</v>
      </c>
      <c r="E437" s="2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4">
        <v>45597</v>
      </c>
      <c r="N437" s="5">
        <v>11</v>
      </c>
      <c r="O437" s="3" t="s">
        <v>44</v>
      </c>
      <c r="P437" s="6" t="s">
        <v>24</v>
      </c>
      <c r="Q437" s="14">
        <f t="shared" si="18"/>
        <v>45597</v>
      </c>
      <c r="R437" s="15">
        <f t="shared" si="19"/>
        <v>-5.4945054945054944E-2</v>
      </c>
      <c r="S437" s="16">
        <f t="shared" si="20"/>
        <v>0.09</v>
      </c>
    </row>
    <row r="438" spans="1:19">
      <c r="A438" s="1" t="s">
        <v>19</v>
      </c>
      <c r="B438" s="2" t="s">
        <v>41</v>
      </c>
      <c r="C438" s="3" t="s">
        <v>48</v>
      </c>
      <c r="D438" s="3" t="s">
        <v>51</v>
      </c>
      <c r="E438" s="2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4">
        <v>45536</v>
      </c>
      <c r="N438" s="5">
        <v>9</v>
      </c>
      <c r="O438" s="3" t="s">
        <v>38</v>
      </c>
      <c r="P438" s="6" t="s">
        <v>24</v>
      </c>
      <c r="Q438" s="14">
        <f t="shared" si="18"/>
        <v>45536</v>
      </c>
      <c r="R438" s="15">
        <f t="shared" si="19"/>
        <v>0.18367346938775511</v>
      </c>
      <c r="S438" s="16">
        <f t="shared" si="20"/>
        <v>0.09</v>
      </c>
    </row>
    <row r="439" spans="1:19">
      <c r="A439" s="1" t="s">
        <v>19</v>
      </c>
      <c r="B439" s="2" t="s">
        <v>20</v>
      </c>
      <c r="C439" s="3" t="s">
        <v>48</v>
      </c>
      <c r="D439" s="3" t="s">
        <v>51</v>
      </c>
      <c r="E439" s="2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4">
        <v>45566</v>
      </c>
      <c r="N439" s="5">
        <v>10</v>
      </c>
      <c r="O439" s="3" t="s">
        <v>39</v>
      </c>
      <c r="P439" s="6" t="s">
        <v>24</v>
      </c>
      <c r="Q439" s="14">
        <f t="shared" si="18"/>
        <v>45566</v>
      </c>
      <c r="R439" s="15">
        <f t="shared" si="19"/>
        <v>0.18367346938775511</v>
      </c>
      <c r="S439" s="16">
        <f t="shared" si="20"/>
        <v>0.09</v>
      </c>
    </row>
    <row r="440" spans="1:19">
      <c r="A440" s="1" t="s">
        <v>26</v>
      </c>
      <c r="B440" s="2" t="s">
        <v>25</v>
      </c>
      <c r="C440" s="3" t="s">
        <v>48</v>
      </c>
      <c r="D440" s="3" t="s">
        <v>51</v>
      </c>
      <c r="E440" s="2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4">
        <v>45231</v>
      </c>
      <c r="N440" s="5">
        <v>11</v>
      </c>
      <c r="O440" s="3" t="s">
        <v>44</v>
      </c>
      <c r="P440" s="6" t="s">
        <v>40</v>
      </c>
      <c r="Q440" s="14">
        <f t="shared" si="18"/>
        <v>45231</v>
      </c>
      <c r="R440" s="15">
        <f t="shared" si="19"/>
        <v>0.26739926739926739</v>
      </c>
      <c r="S440" s="16">
        <f t="shared" si="20"/>
        <v>0.09</v>
      </c>
    </row>
    <row r="441" spans="1:19">
      <c r="A441" s="1" t="s">
        <v>19</v>
      </c>
      <c r="B441" s="2" t="s">
        <v>29</v>
      </c>
      <c r="C441" s="3" t="s">
        <v>48</v>
      </c>
      <c r="D441" s="3" t="s">
        <v>51</v>
      </c>
      <c r="E441" s="2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4">
        <v>45597</v>
      </c>
      <c r="N441" s="5">
        <v>11</v>
      </c>
      <c r="O441" s="3" t="s">
        <v>44</v>
      </c>
      <c r="P441" s="6" t="s">
        <v>24</v>
      </c>
      <c r="Q441" s="14">
        <f t="shared" si="18"/>
        <v>45597</v>
      </c>
      <c r="R441" s="15">
        <f t="shared" si="19"/>
        <v>0.45054945054945056</v>
      </c>
      <c r="S441" s="16">
        <f t="shared" si="20"/>
        <v>0.09</v>
      </c>
    </row>
    <row r="442" spans="1:19">
      <c r="A442" s="1" t="s">
        <v>19</v>
      </c>
      <c r="B442" s="2" t="s">
        <v>25</v>
      </c>
      <c r="C442" s="3" t="s">
        <v>21</v>
      </c>
      <c r="D442" s="3" t="s">
        <v>51</v>
      </c>
      <c r="E442" s="2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4">
        <v>45413</v>
      </c>
      <c r="N442" s="5">
        <v>5</v>
      </c>
      <c r="O442" s="3" t="s">
        <v>50</v>
      </c>
      <c r="P442" s="6" t="s">
        <v>24</v>
      </c>
      <c r="Q442" s="14">
        <f t="shared" si="18"/>
        <v>45413</v>
      </c>
      <c r="R442" s="15">
        <f t="shared" si="19"/>
        <v>0.45054945054945056</v>
      </c>
      <c r="S442" s="16">
        <f t="shared" si="20"/>
        <v>9.0000000000000011E-2</v>
      </c>
    </row>
    <row r="443" spans="1:19">
      <c r="A443" s="1" t="s">
        <v>19</v>
      </c>
      <c r="B443" s="2" t="s">
        <v>20</v>
      </c>
      <c r="C443" s="3" t="s">
        <v>21</v>
      </c>
      <c r="D443" s="3" t="s">
        <v>51</v>
      </c>
      <c r="E443" s="2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4">
        <v>45474</v>
      </c>
      <c r="N443" s="5">
        <v>7</v>
      </c>
      <c r="O443" s="3" t="s">
        <v>35</v>
      </c>
      <c r="P443" s="6" t="s">
        <v>24</v>
      </c>
      <c r="Q443" s="14">
        <f t="shared" si="18"/>
        <v>45474</v>
      </c>
      <c r="R443" s="15">
        <f t="shared" si="19"/>
        <v>0.21507064364207221</v>
      </c>
      <c r="S443" s="16">
        <f t="shared" si="20"/>
        <v>9.0000000000000011E-2</v>
      </c>
    </row>
    <row r="444" spans="1:19">
      <c r="A444" s="1" t="s">
        <v>33</v>
      </c>
      <c r="B444" s="2" t="s">
        <v>25</v>
      </c>
      <c r="C444" s="3" t="s">
        <v>21</v>
      </c>
      <c r="D444" s="3" t="s">
        <v>51</v>
      </c>
      <c r="E444" s="2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12513.599999999999</v>
      </c>
      <c r="M444" s="4">
        <v>45536</v>
      </c>
      <c r="N444" s="5">
        <v>9</v>
      </c>
      <c r="O444" s="3" t="s">
        <v>38</v>
      </c>
      <c r="P444" s="6" t="s">
        <v>24</v>
      </c>
      <c r="Q444" s="14">
        <f t="shared" si="18"/>
        <v>45536</v>
      </c>
      <c r="R444" s="15">
        <f t="shared" si="19"/>
        <v>0.72527472527472525</v>
      </c>
      <c r="S444" s="16">
        <f t="shared" si="20"/>
        <v>9.0000000000000011E-2</v>
      </c>
    </row>
    <row r="445" spans="1:19">
      <c r="A445" s="1" t="s">
        <v>19</v>
      </c>
      <c r="B445" s="2" t="s">
        <v>29</v>
      </c>
      <c r="C445" s="3" t="s">
        <v>21</v>
      </c>
      <c r="D445" s="3" t="s">
        <v>51</v>
      </c>
      <c r="E445" s="2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4">
        <v>45627</v>
      </c>
      <c r="N445" s="5">
        <v>12</v>
      </c>
      <c r="O445" s="3" t="s">
        <v>30</v>
      </c>
      <c r="P445" s="6" t="s">
        <v>24</v>
      </c>
      <c r="Q445" s="14">
        <f t="shared" si="18"/>
        <v>45627</v>
      </c>
      <c r="R445" s="15">
        <f t="shared" si="19"/>
        <v>0.21507064364207221</v>
      </c>
      <c r="S445" s="16">
        <f t="shared" si="20"/>
        <v>9.0000000000000011E-2</v>
      </c>
    </row>
    <row r="446" spans="1:19">
      <c r="A446" s="1" t="s">
        <v>19</v>
      </c>
      <c r="B446" s="2" t="s">
        <v>41</v>
      </c>
      <c r="C446" s="3" t="s">
        <v>42</v>
      </c>
      <c r="D446" s="3" t="s">
        <v>51</v>
      </c>
      <c r="E446" s="2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7978.5999999999985</v>
      </c>
      <c r="M446" s="4">
        <v>45352</v>
      </c>
      <c r="N446" s="5">
        <v>3</v>
      </c>
      <c r="O446" s="3" t="s">
        <v>32</v>
      </c>
      <c r="P446" s="6" t="s">
        <v>24</v>
      </c>
      <c r="Q446" s="14">
        <f t="shared" si="18"/>
        <v>45352</v>
      </c>
      <c r="R446" s="15">
        <f t="shared" si="19"/>
        <v>0.4505494505494505</v>
      </c>
      <c r="S446" s="16">
        <f t="shared" si="20"/>
        <v>9.0000000000000011E-2</v>
      </c>
    </row>
    <row r="447" spans="1:19">
      <c r="A447" s="1" t="s">
        <v>19</v>
      </c>
      <c r="B447" s="2" t="s">
        <v>29</v>
      </c>
      <c r="C447" s="3" t="s">
        <v>42</v>
      </c>
      <c r="D447" s="3" t="s">
        <v>51</v>
      </c>
      <c r="E447" s="2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8511.5999999999985</v>
      </c>
      <c r="M447" s="4">
        <v>45444</v>
      </c>
      <c r="N447" s="5">
        <v>6</v>
      </c>
      <c r="O447" s="3" t="s">
        <v>28</v>
      </c>
      <c r="P447" s="6" t="s">
        <v>24</v>
      </c>
      <c r="Q447" s="14">
        <f t="shared" si="18"/>
        <v>45444</v>
      </c>
      <c r="R447" s="15">
        <f t="shared" si="19"/>
        <v>0.4505494505494505</v>
      </c>
      <c r="S447" s="16">
        <f t="shared" si="20"/>
        <v>9.0000000000000011E-2</v>
      </c>
    </row>
    <row r="448" spans="1:19">
      <c r="A448" s="1" t="s">
        <v>19</v>
      </c>
      <c r="B448" s="2" t="s">
        <v>25</v>
      </c>
      <c r="C448" s="3" t="s">
        <v>42</v>
      </c>
      <c r="D448" s="3" t="s">
        <v>51</v>
      </c>
      <c r="E448" s="2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493.19999999999982</v>
      </c>
      <c r="M448" s="4">
        <v>45566</v>
      </c>
      <c r="N448" s="5">
        <v>10</v>
      </c>
      <c r="O448" s="3" t="s">
        <v>39</v>
      </c>
      <c r="P448" s="6" t="s">
        <v>24</v>
      </c>
      <c r="Q448" s="14">
        <f t="shared" si="18"/>
        <v>45566</v>
      </c>
      <c r="R448" s="15">
        <f t="shared" si="19"/>
        <v>0.21507064364207215</v>
      </c>
      <c r="S448" s="16">
        <f t="shared" si="20"/>
        <v>9.0000000000000011E-2</v>
      </c>
    </row>
    <row r="449" spans="1:19">
      <c r="A449" s="1" t="s">
        <v>33</v>
      </c>
      <c r="B449" s="2" t="s">
        <v>27</v>
      </c>
      <c r="C449" s="3" t="s">
        <v>45</v>
      </c>
      <c r="D449" s="3" t="s">
        <v>51</v>
      </c>
      <c r="E449" s="2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4">
        <v>45352</v>
      </c>
      <c r="N449" s="5">
        <v>3</v>
      </c>
      <c r="O449" s="3" t="s">
        <v>32</v>
      </c>
      <c r="P449" s="6" t="s">
        <v>24</v>
      </c>
      <c r="Q449" s="14">
        <f t="shared" si="18"/>
        <v>45352</v>
      </c>
      <c r="R449" s="15">
        <f t="shared" si="19"/>
        <v>0.72527472527472525</v>
      </c>
      <c r="S449" s="16">
        <f t="shared" si="20"/>
        <v>9.0000000000000011E-2</v>
      </c>
    </row>
    <row r="450" spans="1:19">
      <c r="A450" s="1" t="s">
        <v>26</v>
      </c>
      <c r="B450" s="2" t="s">
        <v>29</v>
      </c>
      <c r="C450" s="3" t="s">
        <v>45</v>
      </c>
      <c r="D450" s="3" t="s">
        <v>51</v>
      </c>
      <c r="E450" s="2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9592.1999999999971</v>
      </c>
      <c r="M450" s="4">
        <v>45383</v>
      </c>
      <c r="N450" s="5">
        <v>4</v>
      </c>
      <c r="O450" s="3" t="s">
        <v>47</v>
      </c>
      <c r="P450" s="6" t="s">
        <v>24</v>
      </c>
      <c r="Q450" s="14">
        <f t="shared" ref="Q450:Q513" si="21">DATE($P450,$N450,1)</f>
        <v>45383</v>
      </c>
      <c r="R450" s="15">
        <f t="shared" ref="R450:R513" si="22">IFERROR($L450/$J450,0)</f>
        <v>0.26739926739926734</v>
      </c>
      <c r="S450" s="16">
        <f t="shared" ref="S450:S513" si="23">IFERROR($I450/$H450,0)</f>
        <v>9.0000000000000011E-2</v>
      </c>
    </row>
    <row r="451" spans="1:19">
      <c r="A451" s="1" t="s">
        <v>19</v>
      </c>
      <c r="B451" s="2" t="s">
        <v>25</v>
      </c>
      <c r="C451" s="3" t="s">
        <v>46</v>
      </c>
      <c r="D451" s="3" t="s">
        <v>51</v>
      </c>
      <c r="E451" s="2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493.19999999999982</v>
      </c>
      <c r="M451" s="4">
        <v>45566</v>
      </c>
      <c r="N451" s="5">
        <v>10</v>
      </c>
      <c r="O451" s="3" t="s">
        <v>39</v>
      </c>
      <c r="P451" s="6" t="s">
        <v>24</v>
      </c>
      <c r="Q451" s="14">
        <f t="shared" si="21"/>
        <v>45566</v>
      </c>
      <c r="R451" s="15">
        <f t="shared" si="22"/>
        <v>0.21507064364207215</v>
      </c>
      <c r="S451" s="16">
        <f t="shared" si="23"/>
        <v>9.0000000000000011E-2</v>
      </c>
    </row>
    <row r="452" spans="1:19">
      <c r="A452" s="1" t="s">
        <v>19</v>
      </c>
      <c r="B452" s="2" t="s">
        <v>27</v>
      </c>
      <c r="C452" s="3" t="s">
        <v>46</v>
      </c>
      <c r="D452" s="3" t="s">
        <v>51</v>
      </c>
      <c r="E452" s="2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4">
        <v>45231</v>
      </c>
      <c r="N452" s="5">
        <v>11</v>
      </c>
      <c r="O452" s="3" t="s">
        <v>44</v>
      </c>
      <c r="P452" s="6" t="s">
        <v>40</v>
      </c>
      <c r="Q452" s="14">
        <f t="shared" si="21"/>
        <v>45231</v>
      </c>
      <c r="R452" s="15">
        <f t="shared" si="22"/>
        <v>0.45054945054945056</v>
      </c>
      <c r="S452" s="16">
        <f t="shared" si="23"/>
        <v>9.0000000000000011E-2</v>
      </c>
    </row>
    <row r="453" spans="1:19">
      <c r="A453" s="1" t="s">
        <v>19</v>
      </c>
      <c r="B453" s="2" t="s">
        <v>29</v>
      </c>
      <c r="C453" s="3" t="s">
        <v>46</v>
      </c>
      <c r="D453" s="3" t="s">
        <v>51</v>
      </c>
      <c r="E453" s="2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4">
        <v>45627</v>
      </c>
      <c r="N453" s="5">
        <v>12</v>
      </c>
      <c r="O453" s="3" t="s">
        <v>30</v>
      </c>
      <c r="P453" s="6" t="s">
        <v>24</v>
      </c>
      <c r="Q453" s="14">
        <f t="shared" si="21"/>
        <v>45627</v>
      </c>
      <c r="R453" s="15">
        <f t="shared" si="22"/>
        <v>0.21507064364207221</v>
      </c>
      <c r="S453" s="16">
        <f t="shared" si="23"/>
        <v>9.0000000000000011E-2</v>
      </c>
    </row>
    <row r="454" spans="1:19">
      <c r="A454" s="1" t="s">
        <v>19</v>
      </c>
      <c r="B454" s="2" t="s">
        <v>29</v>
      </c>
      <c r="C454" s="3" t="s">
        <v>48</v>
      </c>
      <c r="D454" s="3" t="s">
        <v>51</v>
      </c>
      <c r="E454" s="2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8511.5999999999985</v>
      </c>
      <c r="M454" s="4">
        <v>45444</v>
      </c>
      <c r="N454" s="5">
        <v>6</v>
      </c>
      <c r="O454" s="3" t="s">
        <v>28</v>
      </c>
      <c r="P454" s="6" t="s">
        <v>24</v>
      </c>
      <c r="Q454" s="14">
        <f t="shared" si="21"/>
        <v>45444</v>
      </c>
      <c r="R454" s="15">
        <f t="shared" si="22"/>
        <v>0.4505494505494505</v>
      </c>
      <c r="S454" s="16">
        <f t="shared" si="23"/>
        <v>9.0000000000000011E-2</v>
      </c>
    </row>
    <row r="455" spans="1:19">
      <c r="A455" s="1" t="s">
        <v>26</v>
      </c>
      <c r="B455" s="2" t="s">
        <v>20</v>
      </c>
      <c r="C455" s="3" t="s">
        <v>48</v>
      </c>
      <c r="D455" s="3" t="s">
        <v>51</v>
      </c>
      <c r="E455" s="2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22256.324999999997</v>
      </c>
      <c r="K455" s="3">
        <v>16305</v>
      </c>
      <c r="L455" s="3">
        <v>5951.3249999999989</v>
      </c>
      <c r="M455" s="4">
        <v>45474</v>
      </c>
      <c r="N455" s="5">
        <v>7</v>
      </c>
      <c r="O455" s="3" t="s">
        <v>35</v>
      </c>
      <c r="P455" s="6" t="s">
        <v>24</v>
      </c>
      <c r="Q455" s="14">
        <f t="shared" si="21"/>
        <v>45474</v>
      </c>
      <c r="R455" s="15">
        <f t="shared" si="22"/>
        <v>0.26739926739926739</v>
      </c>
      <c r="S455" s="16">
        <f t="shared" si="23"/>
        <v>9.0000000000000011E-2</v>
      </c>
    </row>
    <row r="456" spans="1:19">
      <c r="A456" s="1" t="s">
        <v>33</v>
      </c>
      <c r="B456" s="2" t="s">
        <v>27</v>
      </c>
      <c r="C456" s="3" t="s">
        <v>48</v>
      </c>
      <c r="D456" s="3" t="s">
        <v>51</v>
      </c>
      <c r="E456" s="2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4">
        <v>45261</v>
      </c>
      <c r="N456" s="5">
        <v>12</v>
      </c>
      <c r="O456" s="3" t="s">
        <v>30</v>
      </c>
      <c r="P456" s="6" t="s">
        <v>40</v>
      </c>
      <c r="Q456" s="14">
        <f t="shared" si="21"/>
        <v>45261</v>
      </c>
      <c r="R456" s="15">
        <f t="shared" si="22"/>
        <v>0.72527472527472525</v>
      </c>
      <c r="S456" s="16">
        <f t="shared" si="23"/>
        <v>9.0000000000000011E-2</v>
      </c>
    </row>
    <row r="457" spans="1:19">
      <c r="A457" s="1" t="s">
        <v>33</v>
      </c>
      <c r="B457" s="2" t="s">
        <v>41</v>
      </c>
      <c r="C457" s="3" t="s">
        <v>21</v>
      </c>
      <c r="D457" s="3" t="s">
        <v>52</v>
      </c>
      <c r="E457" s="2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4">
        <v>45200</v>
      </c>
      <c r="N457" s="5">
        <v>10</v>
      </c>
      <c r="O457" s="3" t="s">
        <v>39</v>
      </c>
      <c r="P457" s="6" t="s">
        <v>40</v>
      </c>
      <c r="Q457" s="14">
        <f t="shared" si="21"/>
        <v>45200</v>
      </c>
      <c r="R457" s="15">
        <f t="shared" si="22"/>
        <v>0.72222222222222221</v>
      </c>
      <c r="S457" s="16">
        <f t="shared" si="23"/>
        <v>9.9999999999999992E-2</v>
      </c>
    </row>
    <row r="458" spans="1:19">
      <c r="A458" s="1" t="s">
        <v>19</v>
      </c>
      <c r="B458" s="2" t="s">
        <v>41</v>
      </c>
      <c r="C458" s="3" t="s">
        <v>31</v>
      </c>
      <c r="D458" s="3" t="s">
        <v>52</v>
      </c>
      <c r="E458" s="2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3026.3999999999996</v>
      </c>
      <c r="M458" s="4">
        <v>45536</v>
      </c>
      <c r="N458" s="5">
        <v>9</v>
      </c>
      <c r="O458" s="3" t="s">
        <v>38</v>
      </c>
      <c r="P458" s="6" t="s">
        <v>24</v>
      </c>
      <c r="Q458" s="14">
        <f t="shared" si="21"/>
        <v>45536</v>
      </c>
      <c r="R458" s="15">
        <f t="shared" si="22"/>
        <v>0.20634920634920634</v>
      </c>
      <c r="S458" s="16">
        <f t="shared" si="23"/>
        <v>9.9999999999999992E-2</v>
      </c>
    </row>
    <row r="459" spans="1:19">
      <c r="A459" s="1" t="s">
        <v>33</v>
      </c>
      <c r="B459" s="2" t="s">
        <v>41</v>
      </c>
      <c r="C459" s="3" t="s">
        <v>42</v>
      </c>
      <c r="D459" s="3" t="s">
        <v>52</v>
      </c>
      <c r="E459" s="2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4">
        <v>45200</v>
      </c>
      <c r="N459" s="5">
        <v>10</v>
      </c>
      <c r="O459" s="3" t="s">
        <v>39</v>
      </c>
      <c r="P459" s="6" t="s">
        <v>40</v>
      </c>
      <c r="Q459" s="14">
        <f t="shared" si="21"/>
        <v>45200</v>
      </c>
      <c r="R459" s="15">
        <f t="shared" si="22"/>
        <v>0.72222222222222221</v>
      </c>
      <c r="S459" s="16">
        <f t="shared" si="23"/>
        <v>9.9999999999999992E-2</v>
      </c>
    </row>
    <row r="460" spans="1:19">
      <c r="A460" s="1" t="s">
        <v>34</v>
      </c>
      <c r="B460" s="2" t="s">
        <v>41</v>
      </c>
      <c r="C460" s="3" t="s">
        <v>21</v>
      </c>
      <c r="D460" s="3" t="s">
        <v>52</v>
      </c>
      <c r="E460" s="2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4">
        <v>45383</v>
      </c>
      <c r="N460" s="5">
        <v>4</v>
      </c>
      <c r="O460" s="3" t="s">
        <v>47</v>
      </c>
      <c r="P460" s="6" t="s">
        <v>24</v>
      </c>
      <c r="Q460" s="14">
        <f t="shared" si="21"/>
        <v>45383</v>
      </c>
      <c r="R460" s="15">
        <f t="shared" si="22"/>
        <v>-6.6666666666666666E-2</v>
      </c>
      <c r="S460" s="16">
        <f t="shared" si="23"/>
        <v>0.1</v>
      </c>
    </row>
    <row r="461" spans="1:19">
      <c r="A461" s="1" t="s">
        <v>34</v>
      </c>
      <c r="B461" s="2" t="s">
        <v>27</v>
      </c>
      <c r="C461" s="3" t="s">
        <v>21</v>
      </c>
      <c r="D461" s="3" t="s">
        <v>52</v>
      </c>
      <c r="E461" s="2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4">
        <v>45261</v>
      </c>
      <c r="N461" s="5">
        <v>12</v>
      </c>
      <c r="O461" s="3" t="s">
        <v>30</v>
      </c>
      <c r="P461" s="6" t="s">
        <v>40</v>
      </c>
      <c r="Q461" s="14">
        <f t="shared" si="21"/>
        <v>45261</v>
      </c>
      <c r="R461" s="15">
        <f t="shared" si="22"/>
        <v>-6.6666666666666666E-2</v>
      </c>
      <c r="S461" s="16">
        <f t="shared" si="23"/>
        <v>0.1</v>
      </c>
    </row>
    <row r="462" spans="1:19">
      <c r="A462" s="1" t="s">
        <v>19</v>
      </c>
      <c r="B462" s="2" t="s">
        <v>41</v>
      </c>
      <c r="C462" s="3" t="s">
        <v>31</v>
      </c>
      <c r="D462" s="3" t="s">
        <v>52</v>
      </c>
      <c r="E462" s="2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4">
        <v>45413</v>
      </c>
      <c r="N462" s="5">
        <v>5</v>
      </c>
      <c r="O462" s="3" t="s">
        <v>50</v>
      </c>
      <c r="P462" s="6" t="s">
        <v>24</v>
      </c>
      <c r="Q462" s="14">
        <f t="shared" si="21"/>
        <v>45413</v>
      </c>
      <c r="R462" s="15">
        <f t="shared" si="22"/>
        <v>0.17460317460317459</v>
      </c>
      <c r="S462" s="16">
        <f t="shared" si="23"/>
        <v>0.1</v>
      </c>
    </row>
    <row r="463" spans="1:19">
      <c r="A463" s="1" t="s">
        <v>34</v>
      </c>
      <c r="B463" s="2" t="s">
        <v>41</v>
      </c>
      <c r="C463" s="3" t="s">
        <v>31</v>
      </c>
      <c r="D463" s="3" t="s">
        <v>52</v>
      </c>
      <c r="E463" s="2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4">
        <v>45231</v>
      </c>
      <c r="N463" s="5">
        <v>11</v>
      </c>
      <c r="O463" s="3" t="s">
        <v>44</v>
      </c>
      <c r="P463" s="6" t="s">
        <v>40</v>
      </c>
      <c r="Q463" s="14">
        <f t="shared" si="21"/>
        <v>45231</v>
      </c>
      <c r="R463" s="15">
        <f t="shared" si="22"/>
        <v>-6.6666666666666666E-2</v>
      </c>
      <c r="S463" s="16">
        <f t="shared" si="23"/>
        <v>0.1</v>
      </c>
    </row>
    <row r="464" spans="1:19">
      <c r="A464" s="1" t="s">
        <v>26</v>
      </c>
      <c r="B464" s="2" t="s">
        <v>27</v>
      </c>
      <c r="C464" s="3" t="s">
        <v>31</v>
      </c>
      <c r="D464" s="3" t="s">
        <v>52</v>
      </c>
      <c r="E464" s="2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4">
        <v>45627</v>
      </c>
      <c r="N464" s="5">
        <v>12</v>
      </c>
      <c r="O464" s="3" t="s">
        <v>30</v>
      </c>
      <c r="P464" s="6" t="s">
        <v>24</v>
      </c>
      <c r="Q464" s="14">
        <f t="shared" si="21"/>
        <v>45627</v>
      </c>
      <c r="R464" s="15">
        <f t="shared" si="22"/>
        <v>0.25925925925925924</v>
      </c>
      <c r="S464" s="16">
        <f t="shared" si="23"/>
        <v>0.1</v>
      </c>
    </row>
    <row r="465" spans="1:19">
      <c r="A465" s="1" t="s">
        <v>19</v>
      </c>
      <c r="B465" s="2" t="s">
        <v>27</v>
      </c>
      <c r="C465" s="3" t="s">
        <v>42</v>
      </c>
      <c r="D465" s="3" t="s">
        <v>52</v>
      </c>
      <c r="E465" s="2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4">
        <v>45352</v>
      </c>
      <c r="N465" s="5">
        <v>3</v>
      </c>
      <c r="O465" s="3" t="s">
        <v>32</v>
      </c>
      <c r="P465" s="6" t="s">
        <v>24</v>
      </c>
      <c r="Q465" s="14">
        <f t="shared" si="21"/>
        <v>45352</v>
      </c>
      <c r="R465" s="15">
        <f t="shared" si="22"/>
        <v>0.44444444444444442</v>
      </c>
      <c r="S465" s="16">
        <f t="shared" si="23"/>
        <v>0.1</v>
      </c>
    </row>
    <row r="466" spans="1:19">
      <c r="A466" s="1" t="s">
        <v>36</v>
      </c>
      <c r="B466" s="2" t="s">
        <v>29</v>
      </c>
      <c r="C466" s="3" t="s">
        <v>42</v>
      </c>
      <c r="D466" s="3" t="s">
        <v>52</v>
      </c>
      <c r="E466" s="2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4">
        <v>45413</v>
      </c>
      <c r="N466" s="5">
        <v>5</v>
      </c>
      <c r="O466" s="3" t="s">
        <v>50</v>
      </c>
      <c r="P466" s="6" t="s">
        <v>24</v>
      </c>
      <c r="Q466" s="14">
        <f t="shared" si="21"/>
        <v>45413</v>
      </c>
      <c r="R466" s="15">
        <f t="shared" si="22"/>
        <v>7.407407407407407E-2</v>
      </c>
      <c r="S466" s="16">
        <f t="shared" si="23"/>
        <v>0.1</v>
      </c>
    </row>
    <row r="467" spans="1:19">
      <c r="A467" s="1" t="s">
        <v>26</v>
      </c>
      <c r="B467" s="2" t="s">
        <v>27</v>
      </c>
      <c r="C467" s="3" t="s">
        <v>42</v>
      </c>
      <c r="D467" s="3" t="s">
        <v>52</v>
      </c>
      <c r="E467" s="2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4">
        <v>45200</v>
      </c>
      <c r="N467" s="5">
        <v>10</v>
      </c>
      <c r="O467" s="3" t="s">
        <v>39</v>
      </c>
      <c r="P467" s="6" t="s">
        <v>40</v>
      </c>
      <c r="Q467" s="14">
        <f t="shared" si="21"/>
        <v>45200</v>
      </c>
      <c r="R467" s="15">
        <f t="shared" si="22"/>
        <v>0.25925925925925924</v>
      </c>
      <c r="S467" s="16">
        <f t="shared" si="23"/>
        <v>0.1</v>
      </c>
    </row>
    <row r="468" spans="1:19">
      <c r="A468" s="1" t="s">
        <v>19</v>
      </c>
      <c r="B468" s="2" t="s">
        <v>25</v>
      </c>
      <c r="C468" s="3" t="s">
        <v>42</v>
      </c>
      <c r="D468" s="3" t="s">
        <v>52</v>
      </c>
      <c r="E468" s="2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4">
        <v>45566</v>
      </c>
      <c r="N468" s="5">
        <v>10</v>
      </c>
      <c r="O468" s="3" t="s">
        <v>39</v>
      </c>
      <c r="P468" s="6" t="s">
        <v>24</v>
      </c>
      <c r="Q468" s="14">
        <f t="shared" si="21"/>
        <v>45566</v>
      </c>
      <c r="R468" s="15">
        <f t="shared" si="22"/>
        <v>0.44444444444444442</v>
      </c>
      <c r="S468" s="16">
        <f t="shared" si="23"/>
        <v>0.1</v>
      </c>
    </row>
    <row r="469" spans="1:19">
      <c r="A469" s="1" t="s">
        <v>26</v>
      </c>
      <c r="B469" s="2" t="s">
        <v>25</v>
      </c>
      <c r="C469" s="3" t="s">
        <v>45</v>
      </c>
      <c r="D469" s="3" t="s">
        <v>52</v>
      </c>
      <c r="E469" s="2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4">
        <v>45292</v>
      </c>
      <c r="N469" s="5">
        <v>1</v>
      </c>
      <c r="O469" s="3" t="s">
        <v>23</v>
      </c>
      <c r="P469" s="6" t="s">
        <v>24</v>
      </c>
      <c r="Q469" s="14">
        <f t="shared" si="21"/>
        <v>45292</v>
      </c>
      <c r="R469" s="15">
        <f t="shared" si="22"/>
        <v>0.25925925925925924</v>
      </c>
      <c r="S469" s="16">
        <f t="shared" si="23"/>
        <v>0.1</v>
      </c>
    </row>
    <row r="470" spans="1:19">
      <c r="A470" s="1" t="s">
        <v>26</v>
      </c>
      <c r="B470" s="2" t="s">
        <v>25</v>
      </c>
      <c r="C470" s="3" t="s">
        <v>45</v>
      </c>
      <c r="D470" s="3" t="s">
        <v>52</v>
      </c>
      <c r="E470" s="2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4">
        <v>45383</v>
      </c>
      <c r="N470" s="5">
        <v>4</v>
      </c>
      <c r="O470" s="3" t="s">
        <v>47</v>
      </c>
      <c r="P470" s="6" t="s">
        <v>24</v>
      </c>
      <c r="Q470" s="14">
        <f t="shared" si="21"/>
        <v>45383</v>
      </c>
      <c r="R470" s="15">
        <f t="shared" si="22"/>
        <v>0.25925925925925924</v>
      </c>
      <c r="S470" s="16">
        <f t="shared" si="23"/>
        <v>0.1</v>
      </c>
    </row>
    <row r="471" spans="1:19">
      <c r="A471" s="1" t="s">
        <v>26</v>
      </c>
      <c r="B471" s="2" t="s">
        <v>41</v>
      </c>
      <c r="C471" s="3" t="s">
        <v>45</v>
      </c>
      <c r="D471" s="3" t="s">
        <v>52</v>
      </c>
      <c r="E471" s="2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4">
        <v>45413</v>
      </c>
      <c r="N471" s="5">
        <v>5</v>
      </c>
      <c r="O471" s="3" t="s">
        <v>50</v>
      </c>
      <c r="P471" s="6" t="s">
        <v>24</v>
      </c>
      <c r="Q471" s="14">
        <f t="shared" si="21"/>
        <v>45413</v>
      </c>
      <c r="R471" s="15">
        <f t="shared" si="22"/>
        <v>0.25925925925925924</v>
      </c>
      <c r="S471" s="16">
        <f t="shared" si="23"/>
        <v>0.1</v>
      </c>
    </row>
    <row r="472" spans="1:19">
      <c r="A472" s="1" t="s">
        <v>19</v>
      </c>
      <c r="B472" s="2" t="s">
        <v>27</v>
      </c>
      <c r="C472" s="3" t="s">
        <v>45</v>
      </c>
      <c r="D472" s="3" t="s">
        <v>52</v>
      </c>
      <c r="E472" s="2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4">
        <v>45474</v>
      </c>
      <c r="N472" s="5">
        <v>7</v>
      </c>
      <c r="O472" s="3" t="s">
        <v>35</v>
      </c>
      <c r="P472" s="6" t="s">
        <v>24</v>
      </c>
      <c r="Q472" s="14">
        <f t="shared" si="21"/>
        <v>45474</v>
      </c>
      <c r="R472" s="15">
        <f t="shared" si="22"/>
        <v>0.17460317460317459</v>
      </c>
      <c r="S472" s="16">
        <f t="shared" si="23"/>
        <v>0.1</v>
      </c>
    </row>
    <row r="473" spans="1:19">
      <c r="A473" s="1" t="s">
        <v>34</v>
      </c>
      <c r="B473" s="2" t="s">
        <v>41</v>
      </c>
      <c r="C473" s="3" t="s">
        <v>45</v>
      </c>
      <c r="D473" s="3" t="s">
        <v>52</v>
      </c>
      <c r="E473" s="2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4">
        <v>45536</v>
      </c>
      <c r="N473" s="5">
        <v>9</v>
      </c>
      <c r="O473" s="3" t="s">
        <v>38</v>
      </c>
      <c r="P473" s="6" t="s">
        <v>24</v>
      </c>
      <c r="Q473" s="14">
        <f t="shared" si="21"/>
        <v>45536</v>
      </c>
      <c r="R473" s="15">
        <f t="shared" si="22"/>
        <v>-6.6666666666666666E-2</v>
      </c>
      <c r="S473" s="16">
        <f t="shared" si="23"/>
        <v>0.1</v>
      </c>
    </row>
    <row r="474" spans="1:19">
      <c r="A474" s="1" t="s">
        <v>36</v>
      </c>
      <c r="B474" s="2" t="s">
        <v>41</v>
      </c>
      <c r="C474" s="3" t="s">
        <v>45</v>
      </c>
      <c r="D474" s="3" t="s">
        <v>52</v>
      </c>
      <c r="E474" s="2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4">
        <v>45200</v>
      </c>
      <c r="N474" s="5">
        <v>10</v>
      </c>
      <c r="O474" s="3" t="s">
        <v>39</v>
      </c>
      <c r="P474" s="6" t="s">
        <v>40</v>
      </c>
      <c r="Q474" s="14">
        <f t="shared" si="21"/>
        <v>45200</v>
      </c>
      <c r="R474" s="15">
        <f t="shared" si="22"/>
        <v>7.407407407407407E-2</v>
      </c>
      <c r="S474" s="16">
        <f t="shared" si="23"/>
        <v>0.1</v>
      </c>
    </row>
    <row r="475" spans="1:19">
      <c r="A475" s="1" t="s">
        <v>19</v>
      </c>
      <c r="B475" s="2" t="s">
        <v>25</v>
      </c>
      <c r="C475" s="3" t="s">
        <v>45</v>
      </c>
      <c r="D475" s="3" t="s">
        <v>52</v>
      </c>
      <c r="E475" s="2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4">
        <v>45566</v>
      </c>
      <c r="N475" s="5">
        <v>10</v>
      </c>
      <c r="O475" s="3" t="s">
        <v>39</v>
      </c>
      <c r="P475" s="6" t="s">
        <v>24</v>
      </c>
      <c r="Q475" s="14">
        <f t="shared" si="21"/>
        <v>45566</v>
      </c>
      <c r="R475" s="15">
        <f t="shared" si="22"/>
        <v>0.44444444444444442</v>
      </c>
      <c r="S475" s="16">
        <f t="shared" si="23"/>
        <v>0.1</v>
      </c>
    </row>
    <row r="476" spans="1:19">
      <c r="A476" s="1" t="s">
        <v>19</v>
      </c>
      <c r="B476" s="2" t="s">
        <v>25</v>
      </c>
      <c r="C476" s="3" t="s">
        <v>45</v>
      </c>
      <c r="D476" s="3" t="s">
        <v>52</v>
      </c>
      <c r="E476" s="2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4">
        <v>45597</v>
      </c>
      <c r="N476" s="5">
        <v>11</v>
      </c>
      <c r="O476" s="3" t="s">
        <v>44</v>
      </c>
      <c r="P476" s="6" t="s">
        <v>24</v>
      </c>
      <c r="Q476" s="14">
        <f t="shared" si="21"/>
        <v>45597</v>
      </c>
      <c r="R476" s="15">
        <f t="shared" si="22"/>
        <v>0.20634920634920634</v>
      </c>
      <c r="S476" s="16">
        <f t="shared" si="23"/>
        <v>0.1</v>
      </c>
    </row>
    <row r="477" spans="1:19">
      <c r="A477" s="1" t="s">
        <v>34</v>
      </c>
      <c r="B477" s="2" t="s">
        <v>20</v>
      </c>
      <c r="C477" s="3" t="s">
        <v>45</v>
      </c>
      <c r="D477" s="3" t="s">
        <v>52</v>
      </c>
      <c r="E477" s="2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4">
        <v>45261</v>
      </c>
      <c r="N477" s="5">
        <v>12</v>
      </c>
      <c r="O477" s="3" t="s">
        <v>30</v>
      </c>
      <c r="P477" s="6" t="s">
        <v>40</v>
      </c>
      <c r="Q477" s="14">
        <f t="shared" si="21"/>
        <v>45261</v>
      </c>
      <c r="R477" s="15">
        <f t="shared" si="22"/>
        <v>-6.6666666666666666E-2</v>
      </c>
      <c r="S477" s="16">
        <f t="shared" si="23"/>
        <v>0.1</v>
      </c>
    </row>
    <row r="478" spans="1:19">
      <c r="A478" s="1" t="s">
        <v>36</v>
      </c>
      <c r="B478" s="2" t="s">
        <v>27</v>
      </c>
      <c r="C478" s="3" t="s">
        <v>45</v>
      </c>
      <c r="D478" s="3" t="s">
        <v>52</v>
      </c>
      <c r="E478" s="2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4">
        <v>45627</v>
      </c>
      <c r="N478" s="5">
        <v>12</v>
      </c>
      <c r="O478" s="3" t="s">
        <v>30</v>
      </c>
      <c r="P478" s="6" t="s">
        <v>24</v>
      </c>
      <c r="Q478" s="14">
        <f t="shared" si="21"/>
        <v>45627</v>
      </c>
      <c r="R478" s="15">
        <f t="shared" si="22"/>
        <v>7.407407407407407E-2</v>
      </c>
      <c r="S478" s="16">
        <f t="shared" si="23"/>
        <v>0.1</v>
      </c>
    </row>
    <row r="479" spans="1:19">
      <c r="A479" s="1" t="s">
        <v>34</v>
      </c>
      <c r="B479" s="2" t="s">
        <v>29</v>
      </c>
      <c r="C479" s="3" t="s">
        <v>46</v>
      </c>
      <c r="D479" s="3" t="s">
        <v>52</v>
      </c>
      <c r="E479" s="2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4">
        <v>45413</v>
      </c>
      <c r="N479" s="5">
        <v>5</v>
      </c>
      <c r="O479" s="3" t="s">
        <v>50</v>
      </c>
      <c r="P479" s="6" t="s">
        <v>24</v>
      </c>
      <c r="Q479" s="14">
        <f t="shared" si="21"/>
        <v>45413</v>
      </c>
      <c r="R479" s="15">
        <f t="shared" si="22"/>
        <v>-6.6666666666666666E-2</v>
      </c>
      <c r="S479" s="16">
        <f t="shared" si="23"/>
        <v>0.1</v>
      </c>
    </row>
    <row r="480" spans="1:19">
      <c r="A480" s="1" t="s">
        <v>26</v>
      </c>
      <c r="B480" s="2" t="s">
        <v>29</v>
      </c>
      <c r="C480" s="3" t="s">
        <v>46</v>
      </c>
      <c r="D480" s="3" t="s">
        <v>52</v>
      </c>
      <c r="E480" s="2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4">
        <v>45474</v>
      </c>
      <c r="N480" s="5">
        <v>7</v>
      </c>
      <c r="O480" s="3" t="s">
        <v>35</v>
      </c>
      <c r="P480" s="6" t="s">
        <v>24</v>
      </c>
      <c r="Q480" s="14">
        <f t="shared" si="21"/>
        <v>45474</v>
      </c>
      <c r="R480" s="15">
        <f t="shared" si="22"/>
        <v>0.25925925925925924</v>
      </c>
      <c r="S480" s="16">
        <f t="shared" si="23"/>
        <v>0.1</v>
      </c>
    </row>
    <row r="481" spans="1:19">
      <c r="A481" s="1" t="s">
        <v>19</v>
      </c>
      <c r="B481" s="2" t="s">
        <v>41</v>
      </c>
      <c r="C481" s="3" t="s">
        <v>46</v>
      </c>
      <c r="D481" s="3" t="s">
        <v>52</v>
      </c>
      <c r="E481" s="2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4">
        <v>45505</v>
      </c>
      <c r="N481" s="5">
        <v>8</v>
      </c>
      <c r="O481" s="3" t="s">
        <v>37</v>
      </c>
      <c r="P481" s="6" t="s">
        <v>24</v>
      </c>
      <c r="Q481" s="14">
        <f t="shared" si="21"/>
        <v>45505</v>
      </c>
      <c r="R481" s="15">
        <f t="shared" si="22"/>
        <v>0.17460317460317459</v>
      </c>
      <c r="S481" s="16">
        <f t="shared" si="23"/>
        <v>0.1</v>
      </c>
    </row>
    <row r="482" spans="1:19">
      <c r="A482" s="1" t="s">
        <v>36</v>
      </c>
      <c r="B482" s="2" t="s">
        <v>29</v>
      </c>
      <c r="C482" s="3" t="s">
        <v>46</v>
      </c>
      <c r="D482" s="3" t="s">
        <v>52</v>
      </c>
      <c r="E482" s="2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4">
        <v>45536</v>
      </c>
      <c r="N482" s="5">
        <v>9</v>
      </c>
      <c r="O482" s="3" t="s">
        <v>38</v>
      </c>
      <c r="P482" s="6" t="s">
        <v>24</v>
      </c>
      <c r="Q482" s="14">
        <f t="shared" si="21"/>
        <v>45536</v>
      </c>
      <c r="R482" s="15">
        <f t="shared" si="22"/>
        <v>7.407407407407407E-2</v>
      </c>
      <c r="S482" s="16">
        <f t="shared" si="23"/>
        <v>0.1</v>
      </c>
    </row>
    <row r="483" spans="1:19">
      <c r="A483" s="1" t="s">
        <v>36</v>
      </c>
      <c r="B483" s="2" t="s">
        <v>41</v>
      </c>
      <c r="C483" s="3" t="s">
        <v>46</v>
      </c>
      <c r="D483" s="3" t="s">
        <v>52</v>
      </c>
      <c r="E483" s="2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4">
        <v>45200</v>
      </c>
      <c r="N483" s="5">
        <v>10</v>
      </c>
      <c r="O483" s="3" t="s">
        <v>39</v>
      </c>
      <c r="P483" s="6" t="s">
        <v>40</v>
      </c>
      <c r="Q483" s="14">
        <f t="shared" si="21"/>
        <v>45200</v>
      </c>
      <c r="R483" s="15">
        <f t="shared" si="22"/>
        <v>7.407407407407407E-2</v>
      </c>
      <c r="S483" s="16">
        <f t="shared" si="23"/>
        <v>0.1</v>
      </c>
    </row>
    <row r="484" spans="1:19">
      <c r="A484" s="1" t="s">
        <v>26</v>
      </c>
      <c r="B484" s="2" t="s">
        <v>27</v>
      </c>
      <c r="C484" s="3" t="s">
        <v>46</v>
      </c>
      <c r="D484" s="3" t="s">
        <v>52</v>
      </c>
      <c r="E484" s="2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4">
        <v>45200</v>
      </c>
      <c r="N484" s="5">
        <v>10</v>
      </c>
      <c r="O484" s="3" t="s">
        <v>39</v>
      </c>
      <c r="P484" s="6" t="s">
        <v>40</v>
      </c>
      <c r="Q484" s="14">
        <f t="shared" si="21"/>
        <v>45200</v>
      </c>
      <c r="R484" s="15">
        <f t="shared" si="22"/>
        <v>0.25925925925925924</v>
      </c>
      <c r="S484" s="16">
        <f t="shared" si="23"/>
        <v>0.1</v>
      </c>
    </row>
    <row r="485" spans="1:19">
      <c r="A485" s="1" t="s">
        <v>34</v>
      </c>
      <c r="B485" s="2" t="s">
        <v>20</v>
      </c>
      <c r="C485" s="3" t="s">
        <v>46</v>
      </c>
      <c r="D485" s="3" t="s">
        <v>52</v>
      </c>
      <c r="E485" s="2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4">
        <v>45597</v>
      </c>
      <c r="N485" s="5">
        <v>11</v>
      </c>
      <c r="O485" s="3" t="s">
        <v>44</v>
      </c>
      <c r="P485" s="6" t="s">
        <v>24</v>
      </c>
      <c r="Q485" s="14">
        <f t="shared" si="21"/>
        <v>45597</v>
      </c>
      <c r="R485" s="15">
        <f t="shared" si="22"/>
        <v>-6.6666666666666666E-2</v>
      </c>
      <c r="S485" s="16">
        <f t="shared" si="23"/>
        <v>0.1</v>
      </c>
    </row>
    <row r="486" spans="1:19">
      <c r="A486" s="1" t="s">
        <v>19</v>
      </c>
      <c r="B486" s="2" t="s">
        <v>25</v>
      </c>
      <c r="C486" s="3" t="s">
        <v>46</v>
      </c>
      <c r="D486" s="3" t="s">
        <v>52</v>
      </c>
      <c r="E486" s="2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4">
        <v>45261</v>
      </c>
      <c r="N486" s="5">
        <v>12</v>
      </c>
      <c r="O486" s="3" t="s">
        <v>30</v>
      </c>
      <c r="P486" s="6" t="s">
        <v>40</v>
      </c>
      <c r="Q486" s="14">
        <f t="shared" si="21"/>
        <v>45261</v>
      </c>
      <c r="R486" s="15">
        <f t="shared" si="22"/>
        <v>0.17460317460317459</v>
      </c>
      <c r="S486" s="16">
        <f t="shared" si="23"/>
        <v>0.1</v>
      </c>
    </row>
    <row r="487" spans="1:19">
      <c r="A487" s="1" t="s">
        <v>34</v>
      </c>
      <c r="B487" s="2" t="s">
        <v>41</v>
      </c>
      <c r="C487" s="3" t="s">
        <v>48</v>
      </c>
      <c r="D487" s="3" t="s">
        <v>52</v>
      </c>
      <c r="E487" s="2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4">
        <v>45292</v>
      </c>
      <c r="N487" s="5">
        <v>1</v>
      </c>
      <c r="O487" s="3" t="s">
        <v>23</v>
      </c>
      <c r="P487" s="6" t="s">
        <v>24</v>
      </c>
      <c r="Q487" s="14">
        <f t="shared" si="21"/>
        <v>45292</v>
      </c>
      <c r="R487" s="15">
        <f t="shared" si="22"/>
        <v>-6.6666666666666666E-2</v>
      </c>
      <c r="S487" s="16">
        <f t="shared" si="23"/>
        <v>0.1</v>
      </c>
    </row>
    <row r="488" spans="1:19">
      <c r="A488" s="1" t="s">
        <v>19</v>
      </c>
      <c r="B488" s="2" t="s">
        <v>20</v>
      </c>
      <c r="C488" s="3" t="s">
        <v>48</v>
      </c>
      <c r="D488" s="3" t="s">
        <v>52</v>
      </c>
      <c r="E488" s="2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4">
        <v>45323</v>
      </c>
      <c r="N488" s="5">
        <v>2</v>
      </c>
      <c r="O488" s="3" t="s">
        <v>43</v>
      </c>
      <c r="P488" s="6" t="s">
        <v>24</v>
      </c>
      <c r="Q488" s="14">
        <f t="shared" si="21"/>
        <v>45323</v>
      </c>
      <c r="R488" s="15">
        <f t="shared" si="22"/>
        <v>0.17460317460317459</v>
      </c>
      <c r="S488" s="16">
        <f t="shared" si="23"/>
        <v>0.1</v>
      </c>
    </row>
    <row r="489" spans="1:19">
      <c r="A489" s="1" t="s">
        <v>36</v>
      </c>
      <c r="B489" s="2" t="s">
        <v>41</v>
      </c>
      <c r="C489" s="3" t="s">
        <v>48</v>
      </c>
      <c r="D489" s="3" t="s">
        <v>52</v>
      </c>
      <c r="E489" s="2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4">
        <v>45352</v>
      </c>
      <c r="N489" s="5">
        <v>3</v>
      </c>
      <c r="O489" s="3" t="s">
        <v>32</v>
      </c>
      <c r="P489" s="6" t="s">
        <v>24</v>
      </c>
      <c r="Q489" s="14">
        <f t="shared" si="21"/>
        <v>45352</v>
      </c>
      <c r="R489" s="15">
        <f t="shared" si="22"/>
        <v>7.407407407407407E-2</v>
      </c>
      <c r="S489" s="16">
        <f t="shared" si="23"/>
        <v>0.1</v>
      </c>
    </row>
    <row r="490" spans="1:19">
      <c r="A490" s="1" t="s">
        <v>33</v>
      </c>
      <c r="B490" s="2" t="s">
        <v>20</v>
      </c>
      <c r="C490" s="3" t="s">
        <v>48</v>
      </c>
      <c r="D490" s="3" t="s">
        <v>52</v>
      </c>
      <c r="E490" s="2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38021.399999999994</v>
      </c>
      <c r="K490" s="3">
        <v>10561.5</v>
      </c>
      <c r="L490" s="3">
        <v>27459.899999999998</v>
      </c>
      <c r="M490" s="4">
        <v>45383</v>
      </c>
      <c r="N490" s="5">
        <v>4</v>
      </c>
      <c r="O490" s="3" t="s">
        <v>47</v>
      </c>
      <c r="P490" s="6" t="s">
        <v>24</v>
      </c>
      <c r="Q490" s="14">
        <f t="shared" si="21"/>
        <v>45383</v>
      </c>
      <c r="R490" s="15">
        <f t="shared" si="22"/>
        <v>0.72222222222222232</v>
      </c>
      <c r="S490" s="16">
        <f t="shared" si="23"/>
        <v>0.1</v>
      </c>
    </row>
    <row r="491" spans="1:19">
      <c r="A491" s="1" t="s">
        <v>19</v>
      </c>
      <c r="B491" s="2" t="s">
        <v>29</v>
      </c>
      <c r="C491" s="3" t="s">
        <v>48</v>
      </c>
      <c r="D491" s="3" t="s">
        <v>52</v>
      </c>
      <c r="E491" s="2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4">
        <v>45413</v>
      </c>
      <c r="N491" s="5">
        <v>5</v>
      </c>
      <c r="O491" s="3" t="s">
        <v>50</v>
      </c>
      <c r="P491" s="6" t="s">
        <v>24</v>
      </c>
      <c r="Q491" s="14">
        <f t="shared" si="21"/>
        <v>45413</v>
      </c>
      <c r="R491" s="15">
        <f t="shared" si="22"/>
        <v>0.44444444444444442</v>
      </c>
      <c r="S491" s="16">
        <f t="shared" si="23"/>
        <v>0.1</v>
      </c>
    </row>
    <row r="492" spans="1:19">
      <c r="A492" s="1" t="s">
        <v>33</v>
      </c>
      <c r="B492" s="2" t="s">
        <v>25</v>
      </c>
      <c r="C492" s="3" t="s">
        <v>48</v>
      </c>
      <c r="D492" s="3" t="s">
        <v>52</v>
      </c>
      <c r="E492" s="2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4">
        <v>45505</v>
      </c>
      <c r="N492" s="5">
        <v>8</v>
      </c>
      <c r="O492" s="3" t="s">
        <v>37</v>
      </c>
      <c r="P492" s="6" t="s">
        <v>24</v>
      </c>
      <c r="Q492" s="14">
        <f t="shared" si="21"/>
        <v>45505</v>
      </c>
      <c r="R492" s="15">
        <f t="shared" si="22"/>
        <v>0.72222222222222221</v>
      </c>
      <c r="S492" s="16">
        <f t="shared" si="23"/>
        <v>0.1</v>
      </c>
    </row>
    <row r="493" spans="1:19">
      <c r="A493" s="1" t="s">
        <v>19</v>
      </c>
      <c r="B493" s="2" t="s">
        <v>20</v>
      </c>
      <c r="C493" s="3" t="s">
        <v>48</v>
      </c>
      <c r="D493" s="3" t="s">
        <v>52</v>
      </c>
      <c r="E493" s="2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4">
        <v>45536</v>
      </c>
      <c r="N493" s="5">
        <v>9</v>
      </c>
      <c r="O493" s="3" t="s">
        <v>38</v>
      </c>
      <c r="P493" s="6" t="s">
        <v>24</v>
      </c>
      <c r="Q493" s="14">
        <f t="shared" si="21"/>
        <v>45536</v>
      </c>
      <c r="R493" s="15">
        <f t="shared" si="22"/>
        <v>0.17460317460317459</v>
      </c>
      <c r="S493" s="16">
        <f t="shared" si="23"/>
        <v>0.1</v>
      </c>
    </row>
    <row r="494" spans="1:19">
      <c r="A494" s="1" t="s">
        <v>26</v>
      </c>
      <c r="B494" s="2" t="s">
        <v>27</v>
      </c>
      <c r="C494" s="3" t="s">
        <v>48</v>
      </c>
      <c r="D494" s="3" t="s">
        <v>52</v>
      </c>
      <c r="E494" s="2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4">
        <v>45627</v>
      </c>
      <c r="N494" s="5">
        <v>12</v>
      </c>
      <c r="O494" s="3" t="s">
        <v>30</v>
      </c>
      <c r="P494" s="6" t="s">
        <v>24</v>
      </c>
      <c r="Q494" s="14">
        <f t="shared" si="21"/>
        <v>45627</v>
      </c>
      <c r="R494" s="15">
        <f t="shared" si="22"/>
        <v>0.25925925925925924</v>
      </c>
      <c r="S494" s="16">
        <f t="shared" si="23"/>
        <v>0.1</v>
      </c>
    </row>
    <row r="495" spans="1:19">
      <c r="A495" s="1" t="s">
        <v>36</v>
      </c>
      <c r="B495" s="2" t="s">
        <v>27</v>
      </c>
      <c r="C495" s="3" t="s">
        <v>48</v>
      </c>
      <c r="D495" s="3" t="s">
        <v>52</v>
      </c>
      <c r="E495" s="2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4">
        <v>45627</v>
      </c>
      <c r="N495" s="5">
        <v>12</v>
      </c>
      <c r="O495" s="3" t="s">
        <v>30</v>
      </c>
      <c r="P495" s="6" t="s">
        <v>24</v>
      </c>
      <c r="Q495" s="14">
        <f t="shared" si="21"/>
        <v>45627</v>
      </c>
      <c r="R495" s="15">
        <f t="shared" si="22"/>
        <v>7.407407407407407E-2</v>
      </c>
      <c r="S495" s="16">
        <f t="shared" si="23"/>
        <v>0.1</v>
      </c>
    </row>
    <row r="496" spans="1:19">
      <c r="A496" s="1" t="s">
        <v>33</v>
      </c>
      <c r="B496" s="2" t="s">
        <v>27</v>
      </c>
      <c r="C496" s="3" t="s">
        <v>21</v>
      </c>
      <c r="D496" s="3" t="s">
        <v>52</v>
      </c>
      <c r="E496" s="2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4">
        <v>45200</v>
      </c>
      <c r="N496" s="5">
        <v>10</v>
      </c>
      <c r="O496" s="3" t="s">
        <v>39</v>
      </c>
      <c r="P496" s="6" t="s">
        <v>40</v>
      </c>
      <c r="Q496" s="14">
        <f t="shared" si="21"/>
        <v>45200</v>
      </c>
      <c r="R496" s="15">
        <f t="shared" si="22"/>
        <v>0.7191011235955056</v>
      </c>
      <c r="S496" s="16">
        <f t="shared" si="23"/>
        <v>0.10999999999999999</v>
      </c>
    </row>
    <row r="497" spans="1:19">
      <c r="A497" s="1" t="s">
        <v>19</v>
      </c>
      <c r="B497" s="2" t="s">
        <v>27</v>
      </c>
      <c r="C497" s="3" t="s">
        <v>42</v>
      </c>
      <c r="D497" s="3" t="s">
        <v>52</v>
      </c>
      <c r="E497" s="2">
        <v>2532</v>
      </c>
      <c r="F497" s="3">
        <v>10</v>
      </c>
      <c r="G497" s="3">
        <v>7</v>
      </c>
      <c r="H497" s="3">
        <v>17724</v>
      </c>
      <c r="I497" s="3">
        <v>1949.6399999999999</v>
      </c>
      <c r="J497" s="3">
        <v>15774.36</v>
      </c>
      <c r="K497" s="3">
        <v>12660</v>
      </c>
      <c r="L497" s="3">
        <v>3114.3599999999997</v>
      </c>
      <c r="M497" s="4">
        <v>45383</v>
      </c>
      <c r="N497" s="5">
        <v>4</v>
      </c>
      <c r="O497" s="3" t="s">
        <v>47</v>
      </c>
      <c r="P497" s="6" t="s">
        <v>24</v>
      </c>
      <c r="Q497" s="14">
        <f t="shared" si="21"/>
        <v>45383</v>
      </c>
      <c r="R497" s="15">
        <f t="shared" si="22"/>
        <v>0.1974317817014446</v>
      </c>
      <c r="S497" s="16">
        <f t="shared" si="23"/>
        <v>0.10999999999999999</v>
      </c>
    </row>
    <row r="498" spans="1:19">
      <c r="A498" s="1" t="s">
        <v>33</v>
      </c>
      <c r="B498" s="2" t="s">
        <v>27</v>
      </c>
      <c r="C498" s="3" t="s">
        <v>42</v>
      </c>
      <c r="D498" s="3" t="s">
        <v>52</v>
      </c>
      <c r="E498" s="2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4">
        <v>45200</v>
      </c>
      <c r="N498" s="5">
        <v>10</v>
      </c>
      <c r="O498" s="3" t="s">
        <v>39</v>
      </c>
      <c r="P498" s="6" t="s">
        <v>40</v>
      </c>
      <c r="Q498" s="14">
        <f t="shared" si="21"/>
        <v>45200</v>
      </c>
      <c r="R498" s="15">
        <f t="shared" si="22"/>
        <v>0.7191011235955056</v>
      </c>
      <c r="S498" s="16">
        <f t="shared" si="23"/>
        <v>0.10999999999999999</v>
      </c>
    </row>
    <row r="499" spans="1:19">
      <c r="A499" s="1" t="s">
        <v>26</v>
      </c>
      <c r="B499" s="2" t="s">
        <v>20</v>
      </c>
      <c r="C499" s="3" t="s">
        <v>45</v>
      </c>
      <c r="D499" s="3" t="s">
        <v>52</v>
      </c>
      <c r="E499" s="2">
        <v>384</v>
      </c>
      <c r="F499" s="3">
        <v>120</v>
      </c>
      <c r="G499" s="3">
        <v>15</v>
      </c>
      <c r="H499" s="3">
        <v>5760</v>
      </c>
      <c r="I499" s="3">
        <v>633.59999999999991</v>
      </c>
      <c r="J499" s="3">
        <v>5126.3999999999996</v>
      </c>
      <c r="K499" s="3">
        <v>3840</v>
      </c>
      <c r="L499" s="3">
        <v>1286.3999999999999</v>
      </c>
      <c r="M499" s="4">
        <v>45292</v>
      </c>
      <c r="N499" s="5">
        <v>1</v>
      </c>
      <c r="O499" s="3" t="s">
        <v>23</v>
      </c>
      <c r="P499" s="6" t="s">
        <v>24</v>
      </c>
      <c r="Q499" s="14">
        <f t="shared" si="21"/>
        <v>45292</v>
      </c>
      <c r="R499" s="15">
        <f t="shared" si="22"/>
        <v>0.25093632958801498</v>
      </c>
      <c r="S499" s="16">
        <f t="shared" si="23"/>
        <v>0.10999999999999999</v>
      </c>
    </row>
    <row r="500" spans="1:19">
      <c r="A500" s="1" t="s">
        <v>33</v>
      </c>
      <c r="B500" s="2" t="s">
        <v>25</v>
      </c>
      <c r="C500" s="3" t="s">
        <v>45</v>
      </c>
      <c r="D500" s="3" t="s">
        <v>52</v>
      </c>
      <c r="E500" s="2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4">
        <v>45566</v>
      </c>
      <c r="N500" s="5">
        <v>10</v>
      </c>
      <c r="O500" s="3" t="s">
        <v>39</v>
      </c>
      <c r="P500" s="6" t="s">
        <v>24</v>
      </c>
      <c r="Q500" s="14">
        <f t="shared" si="21"/>
        <v>45566</v>
      </c>
      <c r="R500" s="15">
        <f t="shared" si="22"/>
        <v>0.7191011235955056</v>
      </c>
      <c r="S500" s="16">
        <f t="shared" si="23"/>
        <v>0.10999999999999999</v>
      </c>
    </row>
    <row r="501" spans="1:19">
      <c r="A501" s="1" t="s">
        <v>19</v>
      </c>
      <c r="B501" s="2" t="s">
        <v>41</v>
      </c>
      <c r="C501" s="3" t="s">
        <v>46</v>
      </c>
      <c r="D501" s="3" t="s">
        <v>52</v>
      </c>
      <c r="E501" s="2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4">
        <v>45352</v>
      </c>
      <c r="N501" s="5">
        <v>3</v>
      </c>
      <c r="O501" s="3" t="s">
        <v>32</v>
      </c>
      <c r="P501" s="6" t="s">
        <v>24</v>
      </c>
      <c r="Q501" s="14">
        <f t="shared" si="21"/>
        <v>45352</v>
      </c>
      <c r="R501" s="15">
        <f t="shared" si="22"/>
        <v>0.19743178170144463</v>
      </c>
      <c r="S501" s="16">
        <f t="shared" si="23"/>
        <v>0.10999999999999999</v>
      </c>
    </row>
    <row r="502" spans="1:19">
      <c r="A502" s="1" t="s">
        <v>33</v>
      </c>
      <c r="B502" s="2" t="s">
        <v>29</v>
      </c>
      <c r="C502" s="3" t="s">
        <v>46</v>
      </c>
      <c r="D502" s="3" t="s">
        <v>52</v>
      </c>
      <c r="E502" s="2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4">
        <v>45170</v>
      </c>
      <c r="N502" s="5">
        <v>9</v>
      </c>
      <c r="O502" s="3" t="s">
        <v>38</v>
      </c>
      <c r="P502" s="6" t="s">
        <v>40</v>
      </c>
      <c r="Q502" s="14">
        <f t="shared" si="21"/>
        <v>45170</v>
      </c>
      <c r="R502" s="15">
        <f t="shared" si="22"/>
        <v>0.7191011235955056</v>
      </c>
      <c r="S502" s="16">
        <f t="shared" si="23"/>
        <v>0.10999999999999999</v>
      </c>
    </row>
    <row r="503" spans="1:19">
      <c r="A503" s="1" t="s">
        <v>26</v>
      </c>
      <c r="B503" s="2" t="s">
        <v>41</v>
      </c>
      <c r="C503" s="3" t="s">
        <v>48</v>
      </c>
      <c r="D503" s="3" t="s">
        <v>52</v>
      </c>
      <c r="E503" s="2">
        <v>3199.5</v>
      </c>
      <c r="F503" s="3">
        <v>260</v>
      </c>
      <c r="G503" s="3">
        <v>15</v>
      </c>
      <c r="H503" s="3">
        <v>47992.5</v>
      </c>
      <c r="I503" s="3">
        <v>5279.1749999999993</v>
      </c>
      <c r="J503" s="3">
        <v>42713.324999999997</v>
      </c>
      <c r="K503" s="3">
        <v>31995</v>
      </c>
      <c r="L503" s="3">
        <v>10718.324999999999</v>
      </c>
      <c r="M503" s="4">
        <v>45474</v>
      </c>
      <c r="N503" s="5">
        <v>7</v>
      </c>
      <c r="O503" s="3" t="s">
        <v>35</v>
      </c>
      <c r="P503" s="6" t="s">
        <v>24</v>
      </c>
      <c r="Q503" s="14">
        <f t="shared" si="21"/>
        <v>45474</v>
      </c>
      <c r="R503" s="15">
        <f t="shared" si="22"/>
        <v>0.25093632958801498</v>
      </c>
      <c r="S503" s="16">
        <f t="shared" si="23"/>
        <v>0.10999999999999999</v>
      </c>
    </row>
    <row r="504" spans="1:19">
      <c r="A504" s="1" t="s">
        <v>33</v>
      </c>
      <c r="B504" s="2" t="s">
        <v>25</v>
      </c>
      <c r="C504" s="3" t="s">
        <v>48</v>
      </c>
      <c r="D504" s="3" t="s">
        <v>52</v>
      </c>
      <c r="E504" s="2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4">
        <v>45566</v>
      </c>
      <c r="N504" s="5">
        <v>10</v>
      </c>
      <c r="O504" s="3" t="s">
        <v>39</v>
      </c>
      <c r="P504" s="6" t="s">
        <v>24</v>
      </c>
      <c r="Q504" s="14">
        <f t="shared" si="21"/>
        <v>45566</v>
      </c>
      <c r="R504" s="15">
        <f t="shared" si="22"/>
        <v>0.7191011235955056</v>
      </c>
      <c r="S504" s="16">
        <f t="shared" si="23"/>
        <v>0.10999999999999999</v>
      </c>
    </row>
    <row r="505" spans="1:19">
      <c r="A505" s="1" t="s">
        <v>33</v>
      </c>
      <c r="B505" s="2" t="s">
        <v>20</v>
      </c>
      <c r="C505" s="3" t="s">
        <v>21</v>
      </c>
      <c r="D505" s="3" t="s">
        <v>52</v>
      </c>
      <c r="E505" s="2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4">
        <v>45323</v>
      </c>
      <c r="N505" s="5">
        <v>2</v>
      </c>
      <c r="O505" s="3" t="s">
        <v>43</v>
      </c>
      <c r="P505" s="6" t="s">
        <v>24</v>
      </c>
      <c r="Q505" s="14">
        <f t="shared" si="21"/>
        <v>45323</v>
      </c>
      <c r="R505" s="15">
        <f t="shared" si="22"/>
        <v>0.7191011235955056</v>
      </c>
      <c r="S505" s="16">
        <f t="shared" si="23"/>
        <v>0.11</v>
      </c>
    </row>
    <row r="506" spans="1:19">
      <c r="A506" s="1" t="s">
        <v>19</v>
      </c>
      <c r="B506" s="2" t="s">
        <v>25</v>
      </c>
      <c r="C506" s="3" t="s">
        <v>21</v>
      </c>
      <c r="D506" s="3" t="s">
        <v>52</v>
      </c>
      <c r="E506" s="2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4">
        <v>45352</v>
      </c>
      <c r="N506" s="5">
        <v>3</v>
      </c>
      <c r="O506" s="3" t="s">
        <v>32</v>
      </c>
      <c r="P506" s="6" t="s">
        <v>24</v>
      </c>
      <c r="Q506" s="14">
        <f t="shared" si="21"/>
        <v>45352</v>
      </c>
      <c r="R506" s="15">
        <f t="shared" si="22"/>
        <v>0.1653290529695024</v>
      </c>
      <c r="S506" s="16">
        <f t="shared" si="23"/>
        <v>0.11</v>
      </c>
    </row>
    <row r="507" spans="1:19">
      <c r="A507" s="1" t="s">
        <v>36</v>
      </c>
      <c r="B507" s="2" t="s">
        <v>25</v>
      </c>
      <c r="C507" s="3" t="s">
        <v>21</v>
      </c>
      <c r="D507" s="3" t="s">
        <v>52</v>
      </c>
      <c r="E507" s="2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4">
        <v>45474</v>
      </c>
      <c r="N507" s="5">
        <v>7</v>
      </c>
      <c r="O507" s="3" t="s">
        <v>35</v>
      </c>
      <c r="P507" s="6" t="s">
        <v>24</v>
      </c>
      <c r="Q507" s="14">
        <f t="shared" si="21"/>
        <v>45474</v>
      </c>
      <c r="R507" s="15">
        <f t="shared" si="22"/>
        <v>6.3670411985018729E-2</v>
      </c>
      <c r="S507" s="16">
        <f t="shared" si="23"/>
        <v>0.11</v>
      </c>
    </row>
    <row r="508" spans="1:19">
      <c r="A508" s="1" t="s">
        <v>34</v>
      </c>
      <c r="B508" s="2" t="s">
        <v>27</v>
      </c>
      <c r="C508" s="3" t="s">
        <v>21</v>
      </c>
      <c r="D508" s="3" t="s">
        <v>52</v>
      </c>
      <c r="E508" s="2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4">
        <v>45566</v>
      </c>
      <c r="N508" s="5">
        <v>10</v>
      </c>
      <c r="O508" s="3" t="s">
        <v>39</v>
      </c>
      <c r="P508" s="6" t="s">
        <v>24</v>
      </c>
      <c r="Q508" s="14">
        <f t="shared" si="21"/>
        <v>45566</v>
      </c>
      <c r="R508" s="15">
        <f t="shared" si="22"/>
        <v>-7.8651685393258425E-2</v>
      </c>
      <c r="S508" s="16">
        <f t="shared" si="23"/>
        <v>0.11</v>
      </c>
    </row>
    <row r="509" spans="1:19">
      <c r="A509" s="1" t="s">
        <v>26</v>
      </c>
      <c r="B509" s="2" t="s">
        <v>20</v>
      </c>
      <c r="C509" s="3" t="s">
        <v>21</v>
      </c>
      <c r="D509" s="3" t="s">
        <v>52</v>
      </c>
      <c r="E509" s="2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4">
        <v>45231</v>
      </c>
      <c r="N509" s="5">
        <v>11</v>
      </c>
      <c r="O509" s="3" t="s">
        <v>44</v>
      </c>
      <c r="P509" s="6" t="s">
        <v>40</v>
      </c>
      <c r="Q509" s="14">
        <f t="shared" si="21"/>
        <v>45231</v>
      </c>
      <c r="R509" s="15">
        <f t="shared" si="22"/>
        <v>0.25093632958801498</v>
      </c>
      <c r="S509" s="16">
        <f t="shared" si="23"/>
        <v>0.11</v>
      </c>
    </row>
    <row r="510" spans="1:19">
      <c r="A510" s="1" t="s">
        <v>19</v>
      </c>
      <c r="B510" s="2" t="s">
        <v>29</v>
      </c>
      <c r="C510" s="3" t="s">
        <v>21</v>
      </c>
      <c r="D510" s="3" t="s">
        <v>52</v>
      </c>
      <c r="E510" s="2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3328.380000000001</v>
      </c>
      <c r="M510" s="4">
        <v>45231</v>
      </c>
      <c r="N510" s="5">
        <v>11</v>
      </c>
      <c r="O510" s="3" t="s">
        <v>44</v>
      </c>
      <c r="P510" s="6" t="s">
        <v>40</v>
      </c>
      <c r="Q510" s="14">
        <f t="shared" si="21"/>
        <v>45231</v>
      </c>
      <c r="R510" s="15">
        <f t="shared" si="22"/>
        <v>0.19743178170144468</v>
      </c>
      <c r="S510" s="16">
        <f t="shared" si="23"/>
        <v>0.11</v>
      </c>
    </row>
    <row r="511" spans="1:19">
      <c r="A511" s="1" t="s">
        <v>19</v>
      </c>
      <c r="B511" s="2" t="s">
        <v>25</v>
      </c>
      <c r="C511" s="3" t="s">
        <v>31</v>
      </c>
      <c r="D511" s="3" t="s">
        <v>52</v>
      </c>
      <c r="E511" s="2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4">
        <v>45292</v>
      </c>
      <c r="N511" s="5">
        <v>1</v>
      </c>
      <c r="O511" s="3" t="s">
        <v>23</v>
      </c>
      <c r="P511" s="6" t="s">
        <v>24</v>
      </c>
      <c r="Q511" s="14">
        <f t="shared" si="21"/>
        <v>45292</v>
      </c>
      <c r="R511" s="15">
        <f t="shared" si="22"/>
        <v>0.1653290529695024</v>
      </c>
      <c r="S511" s="16">
        <f t="shared" si="23"/>
        <v>0.11</v>
      </c>
    </row>
    <row r="512" spans="1:19">
      <c r="A512" s="1" t="s">
        <v>19</v>
      </c>
      <c r="B512" s="2" t="s">
        <v>25</v>
      </c>
      <c r="C512" s="3" t="s">
        <v>31</v>
      </c>
      <c r="D512" s="3" t="s">
        <v>52</v>
      </c>
      <c r="E512" s="2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4">
        <v>45200</v>
      </c>
      <c r="N512" s="5">
        <v>10</v>
      </c>
      <c r="O512" s="3" t="s">
        <v>39</v>
      </c>
      <c r="P512" s="6" t="s">
        <v>40</v>
      </c>
      <c r="Q512" s="14">
        <f t="shared" si="21"/>
        <v>45200</v>
      </c>
      <c r="R512" s="15">
        <f t="shared" si="22"/>
        <v>0.4382022471910112</v>
      </c>
      <c r="S512" s="16">
        <f t="shared" si="23"/>
        <v>0.11</v>
      </c>
    </row>
    <row r="513" spans="1:19">
      <c r="A513" s="1" t="s">
        <v>26</v>
      </c>
      <c r="B513" s="2" t="s">
        <v>29</v>
      </c>
      <c r="C513" s="3" t="s">
        <v>31</v>
      </c>
      <c r="D513" s="3" t="s">
        <v>52</v>
      </c>
      <c r="E513" s="2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7225.9500000000007</v>
      </c>
      <c r="M513" s="4">
        <v>45627</v>
      </c>
      <c r="N513" s="5">
        <v>12</v>
      </c>
      <c r="O513" s="3" t="s">
        <v>30</v>
      </c>
      <c r="P513" s="6" t="s">
        <v>24</v>
      </c>
      <c r="Q513" s="14">
        <f t="shared" si="21"/>
        <v>45627</v>
      </c>
      <c r="R513" s="15">
        <f t="shared" si="22"/>
        <v>0.25093632958801498</v>
      </c>
      <c r="S513" s="16">
        <f t="shared" si="23"/>
        <v>0.11</v>
      </c>
    </row>
    <row r="514" spans="1:19">
      <c r="A514" s="1" t="s">
        <v>36</v>
      </c>
      <c r="B514" s="2" t="s">
        <v>20</v>
      </c>
      <c r="C514" s="3" t="s">
        <v>42</v>
      </c>
      <c r="D514" s="3" t="s">
        <v>52</v>
      </c>
      <c r="E514" s="2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4">
        <v>45292</v>
      </c>
      <c r="N514" s="5">
        <v>1</v>
      </c>
      <c r="O514" s="3" t="s">
        <v>23</v>
      </c>
      <c r="P514" s="6" t="s">
        <v>24</v>
      </c>
      <c r="Q514" s="14">
        <f t="shared" ref="Q514:Q577" si="24">DATE($P514,$N514,1)</f>
        <v>45292</v>
      </c>
      <c r="R514" s="15">
        <f t="shared" ref="R514:R577" si="25">IFERROR($L514/$J514,0)</f>
        <v>6.3670411985018729E-2</v>
      </c>
      <c r="S514" s="16">
        <f t="shared" ref="S514:S577" si="26">IFERROR($I514/$H514,0)</f>
        <v>0.11</v>
      </c>
    </row>
    <row r="515" spans="1:19">
      <c r="A515" s="1" t="s">
        <v>19</v>
      </c>
      <c r="B515" s="2" t="s">
        <v>29</v>
      </c>
      <c r="C515" s="3" t="s">
        <v>42</v>
      </c>
      <c r="D515" s="3" t="s">
        <v>52</v>
      </c>
      <c r="E515" s="2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8751.5999999999985</v>
      </c>
      <c r="M515" s="4">
        <v>45352</v>
      </c>
      <c r="N515" s="5">
        <v>3</v>
      </c>
      <c r="O515" s="3" t="s">
        <v>32</v>
      </c>
      <c r="P515" s="6" t="s">
        <v>24</v>
      </c>
      <c r="Q515" s="14">
        <f t="shared" si="24"/>
        <v>45352</v>
      </c>
      <c r="R515" s="15">
        <f t="shared" si="25"/>
        <v>0.4382022471910112</v>
      </c>
      <c r="S515" s="16">
        <f t="shared" si="26"/>
        <v>0.11</v>
      </c>
    </row>
    <row r="516" spans="1:19">
      <c r="A516" s="1" t="s">
        <v>19</v>
      </c>
      <c r="B516" s="2" t="s">
        <v>20</v>
      </c>
      <c r="C516" s="3" t="s">
        <v>42</v>
      </c>
      <c r="D516" s="3" t="s">
        <v>52</v>
      </c>
      <c r="E516" s="2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4">
        <v>45474</v>
      </c>
      <c r="N516" s="5">
        <v>7</v>
      </c>
      <c r="O516" s="3" t="s">
        <v>35</v>
      </c>
      <c r="P516" s="6" t="s">
        <v>24</v>
      </c>
      <c r="Q516" s="14">
        <f t="shared" si="24"/>
        <v>45474</v>
      </c>
      <c r="R516" s="15">
        <f t="shared" si="25"/>
        <v>0.1653290529695024</v>
      </c>
      <c r="S516" s="16">
        <f t="shared" si="26"/>
        <v>0.11</v>
      </c>
    </row>
    <row r="517" spans="1:19">
      <c r="A517" s="1" t="s">
        <v>33</v>
      </c>
      <c r="B517" s="2" t="s">
        <v>20</v>
      </c>
      <c r="C517" s="3" t="s">
        <v>42</v>
      </c>
      <c r="D517" s="3" t="s">
        <v>52</v>
      </c>
      <c r="E517" s="2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4">
        <v>45474</v>
      </c>
      <c r="N517" s="5">
        <v>7</v>
      </c>
      <c r="O517" s="3" t="s">
        <v>35</v>
      </c>
      <c r="P517" s="6" t="s">
        <v>24</v>
      </c>
      <c r="Q517" s="14">
        <f t="shared" si="24"/>
        <v>45474</v>
      </c>
      <c r="R517" s="15">
        <f t="shared" si="25"/>
        <v>0.7191011235955056</v>
      </c>
      <c r="S517" s="16">
        <f t="shared" si="26"/>
        <v>0.11</v>
      </c>
    </row>
    <row r="518" spans="1:19">
      <c r="A518" s="1" t="s">
        <v>33</v>
      </c>
      <c r="B518" s="2" t="s">
        <v>27</v>
      </c>
      <c r="C518" s="3" t="s">
        <v>42</v>
      </c>
      <c r="D518" s="3" t="s">
        <v>52</v>
      </c>
      <c r="E518" s="2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25904.340000000004</v>
      </c>
      <c r="K518" s="3">
        <v>7276.5</v>
      </c>
      <c r="L518" s="3">
        <v>18627.840000000004</v>
      </c>
      <c r="M518" s="4">
        <v>45474</v>
      </c>
      <c r="N518" s="5">
        <v>7</v>
      </c>
      <c r="O518" s="3" t="s">
        <v>35</v>
      </c>
      <c r="P518" s="6" t="s">
        <v>24</v>
      </c>
      <c r="Q518" s="14">
        <f t="shared" si="24"/>
        <v>45474</v>
      </c>
      <c r="R518" s="15">
        <f t="shared" si="25"/>
        <v>0.71910112359550571</v>
      </c>
      <c r="S518" s="16">
        <f t="shared" si="26"/>
        <v>0.11</v>
      </c>
    </row>
    <row r="519" spans="1:19">
      <c r="A519" s="1" t="s">
        <v>19</v>
      </c>
      <c r="B519" s="2" t="s">
        <v>20</v>
      </c>
      <c r="C519" s="3" t="s">
        <v>42</v>
      </c>
      <c r="D519" s="3" t="s">
        <v>52</v>
      </c>
      <c r="E519" s="2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18673.199999999997</v>
      </c>
      <c r="M519" s="4">
        <v>45505</v>
      </c>
      <c r="N519" s="5">
        <v>8</v>
      </c>
      <c r="O519" s="3" t="s">
        <v>37</v>
      </c>
      <c r="P519" s="6" t="s">
        <v>24</v>
      </c>
      <c r="Q519" s="14">
        <f t="shared" si="24"/>
        <v>45505</v>
      </c>
      <c r="R519" s="15">
        <f t="shared" si="25"/>
        <v>0.4382022471910112</v>
      </c>
      <c r="S519" s="16">
        <f t="shared" si="26"/>
        <v>0.11</v>
      </c>
    </row>
    <row r="520" spans="1:19">
      <c r="A520" s="1" t="s">
        <v>26</v>
      </c>
      <c r="B520" s="2" t="s">
        <v>29</v>
      </c>
      <c r="C520" s="3" t="s">
        <v>42</v>
      </c>
      <c r="D520" s="3" t="s">
        <v>52</v>
      </c>
      <c r="E520" s="2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6646.4000000000015</v>
      </c>
      <c r="M520" s="4">
        <v>45505</v>
      </c>
      <c r="N520" s="5">
        <v>8</v>
      </c>
      <c r="O520" s="3" t="s">
        <v>37</v>
      </c>
      <c r="P520" s="6" t="s">
        <v>24</v>
      </c>
      <c r="Q520" s="14">
        <f t="shared" si="24"/>
        <v>45505</v>
      </c>
      <c r="R520" s="15">
        <f t="shared" si="25"/>
        <v>0.25093632958801504</v>
      </c>
      <c r="S520" s="16">
        <f t="shared" si="26"/>
        <v>0.11</v>
      </c>
    </row>
    <row r="521" spans="1:19">
      <c r="A521" s="1" t="s">
        <v>34</v>
      </c>
      <c r="B521" s="2" t="s">
        <v>27</v>
      </c>
      <c r="C521" s="3" t="s">
        <v>42</v>
      </c>
      <c r="D521" s="3" t="s">
        <v>52</v>
      </c>
      <c r="E521" s="2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4">
        <v>45566</v>
      </c>
      <c r="N521" s="5">
        <v>10</v>
      </c>
      <c r="O521" s="3" t="s">
        <v>39</v>
      </c>
      <c r="P521" s="6" t="s">
        <v>24</v>
      </c>
      <c r="Q521" s="14">
        <f t="shared" si="24"/>
        <v>45566</v>
      </c>
      <c r="R521" s="15">
        <f t="shared" si="25"/>
        <v>-7.8651685393258425E-2</v>
      </c>
      <c r="S521" s="16">
        <f t="shared" si="26"/>
        <v>0.11</v>
      </c>
    </row>
    <row r="522" spans="1:19">
      <c r="A522" s="1" t="s">
        <v>19</v>
      </c>
      <c r="B522" s="2" t="s">
        <v>25</v>
      </c>
      <c r="C522" s="3" t="s">
        <v>42</v>
      </c>
      <c r="D522" s="3" t="s">
        <v>52</v>
      </c>
      <c r="E522" s="2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4">
        <v>45200</v>
      </c>
      <c r="N522" s="5">
        <v>10</v>
      </c>
      <c r="O522" s="3" t="s">
        <v>39</v>
      </c>
      <c r="P522" s="6" t="s">
        <v>40</v>
      </c>
      <c r="Q522" s="14">
        <f t="shared" si="24"/>
        <v>45200</v>
      </c>
      <c r="R522" s="15">
        <f t="shared" si="25"/>
        <v>0.4382022471910112</v>
      </c>
      <c r="S522" s="16">
        <f t="shared" si="26"/>
        <v>0.11</v>
      </c>
    </row>
    <row r="523" spans="1:19">
      <c r="A523" s="1" t="s">
        <v>36</v>
      </c>
      <c r="B523" s="2" t="s">
        <v>20</v>
      </c>
      <c r="C523" s="3" t="s">
        <v>42</v>
      </c>
      <c r="D523" s="3" t="s">
        <v>52</v>
      </c>
      <c r="E523" s="2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4">
        <v>45597</v>
      </c>
      <c r="N523" s="5">
        <v>11</v>
      </c>
      <c r="O523" s="3" t="s">
        <v>44</v>
      </c>
      <c r="P523" s="6" t="s">
        <v>24</v>
      </c>
      <c r="Q523" s="14">
        <f t="shared" si="24"/>
        <v>45597</v>
      </c>
      <c r="R523" s="15">
        <f t="shared" si="25"/>
        <v>6.3670411985018729E-2</v>
      </c>
      <c r="S523" s="16">
        <f t="shared" si="26"/>
        <v>0.11</v>
      </c>
    </row>
    <row r="524" spans="1:19">
      <c r="A524" s="1" t="s">
        <v>19</v>
      </c>
      <c r="B524" s="2" t="s">
        <v>27</v>
      </c>
      <c r="C524" s="3" t="s">
        <v>45</v>
      </c>
      <c r="D524" s="3" t="s">
        <v>52</v>
      </c>
      <c r="E524" s="2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4">
        <v>45170</v>
      </c>
      <c r="N524" s="5">
        <v>9</v>
      </c>
      <c r="O524" s="3" t="s">
        <v>38</v>
      </c>
      <c r="P524" s="6" t="s">
        <v>40</v>
      </c>
      <c r="Q524" s="14">
        <f t="shared" si="24"/>
        <v>45170</v>
      </c>
      <c r="R524" s="15">
        <f t="shared" si="25"/>
        <v>0.43820224719101125</v>
      </c>
      <c r="S524" s="16">
        <f t="shared" si="26"/>
        <v>0.11</v>
      </c>
    </row>
    <row r="525" spans="1:19">
      <c r="A525" s="1" t="s">
        <v>26</v>
      </c>
      <c r="B525" s="2" t="s">
        <v>29</v>
      </c>
      <c r="C525" s="3" t="s">
        <v>45</v>
      </c>
      <c r="D525" s="3" t="s">
        <v>52</v>
      </c>
      <c r="E525" s="2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4">
        <v>45170</v>
      </c>
      <c r="N525" s="5">
        <v>9</v>
      </c>
      <c r="O525" s="3" t="s">
        <v>38</v>
      </c>
      <c r="P525" s="6" t="s">
        <v>40</v>
      </c>
      <c r="Q525" s="14">
        <f t="shared" si="24"/>
        <v>45170</v>
      </c>
      <c r="R525" s="15">
        <f t="shared" si="25"/>
        <v>0.25093632958801498</v>
      </c>
      <c r="S525" s="16">
        <f t="shared" si="26"/>
        <v>0.11</v>
      </c>
    </row>
    <row r="526" spans="1:19">
      <c r="A526" s="1" t="s">
        <v>19</v>
      </c>
      <c r="B526" s="2" t="s">
        <v>29</v>
      </c>
      <c r="C526" s="3" t="s">
        <v>45</v>
      </c>
      <c r="D526" s="3" t="s">
        <v>52</v>
      </c>
      <c r="E526" s="2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4">
        <v>45200</v>
      </c>
      <c r="N526" s="5">
        <v>10</v>
      </c>
      <c r="O526" s="3" t="s">
        <v>39</v>
      </c>
      <c r="P526" s="6" t="s">
        <v>40</v>
      </c>
      <c r="Q526" s="14">
        <f t="shared" si="24"/>
        <v>45200</v>
      </c>
      <c r="R526" s="15">
        <f t="shared" si="25"/>
        <v>0.1653290529695024</v>
      </c>
      <c r="S526" s="16">
        <f t="shared" si="26"/>
        <v>0.11</v>
      </c>
    </row>
    <row r="527" spans="1:19">
      <c r="A527" s="1" t="s">
        <v>19</v>
      </c>
      <c r="B527" s="2" t="s">
        <v>20</v>
      </c>
      <c r="C527" s="3" t="s">
        <v>45</v>
      </c>
      <c r="D527" s="3" t="s">
        <v>52</v>
      </c>
      <c r="E527" s="2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4">
        <v>45597</v>
      </c>
      <c r="N527" s="5">
        <v>11</v>
      </c>
      <c r="O527" s="3" t="s">
        <v>44</v>
      </c>
      <c r="P527" s="6" t="s">
        <v>24</v>
      </c>
      <c r="Q527" s="14">
        <f t="shared" si="24"/>
        <v>45597</v>
      </c>
      <c r="R527" s="15">
        <f t="shared" si="25"/>
        <v>0.19743178170144463</v>
      </c>
      <c r="S527" s="16">
        <f t="shared" si="26"/>
        <v>0.11</v>
      </c>
    </row>
    <row r="528" spans="1:19">
      <c r="A528" s="1" t="s">
        <v>33</v>
      </c>
      <c r="B528" s="2" t="s">
        <v>27</v>
      </c>
      <c r="C528" s="3" t="s">
        <v>46</v>
      </c>
      <c r="D528" s="3" t="s">
        <v>52</v>
      </c>
      <c r="E528" s="2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13317.119999999999</v>
      </c>
      <c r="M528" s="4">
        <v>45292</v>
      </c>
      <c r="N528" s="5">
        <v>1</v>
      </c>
      <c r="O528" s="3" t="s">
        <v>23</v>
      </c>
      <c r="P528" s="6" t="s">
        <v>24</v>
      </c>
      <c r="Q528" s="14">
        <f t="shared" si="24"/>
        <v>45292</v>
      </c>
      <c r="R528" s="15">
        <f t="shared" si="25"/>
        <v>0.7191011235955056</v>
      </c>
      <c r="S528" s="16">
        <f t="shared" si="26"/>
        <v>0.11</v>
      </c>
    </row>
    <row r="529" spans="1:19">
      <c r="A529" s="1" t="s">
        <v>34</v>
      </c>
      <c r="B529" s="2" t="s">
        <v>29</v>
      </c>
      <c r="C529" s="3" t="s">
        <v>46</v>
      </c>
      <c r="D529" s="3" t="s">
        <v>52</v>
      </c>
      <c r="E529" s="2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4">
        <v>45292</v>
      </c>
      <c r="N529" s="5">
        <v>1</v>
      </c>
      <c r="O529" s="3" t="s">
        <v>23</v>
      </c>
      <c r="P529" s="6" t="s">
        <v>24</v>
      </c>
      <c r="Q529" s="14">
        <f t="shared" si="24"/>
        <v>45292</v>
      </c>
      <c r="R529" s="15">
        <f t="shared" si="25"/>
        <v>-7.8651685393258425E-2</v>
      </c>
      <c r="S529" s="16">
        <f t="shared" si="26"/>
        <v>0.11</v>
      </c>
    </row>
    <row r="530" spans="1:19">
      <c r="A530" s="1" t="s">
        <v>19</v>
      </c>
      <c r="B530" s="2" t="s">
        <v>20</v>
      </c>
      <c r="C530" s="3" t="s">
        <v>46</v>
      </c>
      <c r="D530" s="3" t="s">
        <v>52</v>
      </c>
      <c r="E530" s="2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4">
        <v>45231</v>
      </c>
      <c r="N530" s="5">
        <v>11</v>
      </c>
      <c r="O530" s="3" t="s">
        <v>44</v>
      </c>
      <c r="P530" s="6" t="s">
        <v>40</v>
      </c>
      <c r="Q530" s="14">
        <f t="shared" si="24"/>
        <v>45231</v>
      </c>
      <c r="R530" s="15">
        <f t="shared" si="25"/>
        <v>0.43820224719101125</v>
      </c>
      <c r="S530" s="16">
        <f t="shared" si="26"/>
        <v>0.11</v>
      </c>
    </row>
    <row r="531" spans="1:19">
      <c r="A531" s="1" t="s">
        <v>34</v>
      </c>
      <c r="B531" s="2" t="s">
        <v>25</v>
      </c>
      <c r="C531" s="3" t="s">
        <v>48</v>
      </c>
      <c r="D531" s="3" t="s">
        <v>52</v>
      </c>
      <c r="E531" s="2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4">
        <v>45292</v>
      </c>
      <c r="N531" s="5">
        <v>1</v>
      </c>
      <c r="O531" s="3" t="s">
        <v>23</v>
      </c>
      <c r="P531" s="6" t="s">
        <v>24</v>
      </c>
      <c r="Q531" s="14">
        <f t="shared" si="24"/>
        <v>45292</v>
      </c>
      <c r="R531" s="15">
        <f t="shared" si="25"/>
        <v>-7.8651685393258425E-2</v>
      </c>
      <c r="S531" s="16">
        <f t="shared" si="26"/>
        <v>0.11</v>
      </c>
    </row>
    <row r="532" spans="1:19">
      <c r="A532" s="1" t="s">
        <v>19</v>
      </c>
      <c r="B532" s="2" t="s">
        <v>29</v>
      </c>
      <c r="C532" s="3" t="s">
        <v>48</v>
      </c>
      <c r="D532" s="3" t="s">
        <v>52</v>
      </c>
      <c r="E532" s="2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20506.199999999997</v>
      </c>
      <c r="M532" s="4">
        <v>45292</v>
      </c>
      <c r="N532" s="5">
        <v>1</v>
      </c>
      <c r="O532" s="3" t="s">
        <v>23</v>
      </c>
      <c r="P532" s="6" t="s">
        <v>24</v>
      </c>
      <c r="Q532" s="14">
        <f t="shared" si="24"/>
        <v>45292</v>
      </c>
      <c r="R532" s="15">
        <f t="shared" si="25"/>
        <v>0.4382022471910112</v>
      </c>
      <c r="S532" s="16">
        <f t="shared" si="26"/>
        <v>0.11</v>
      </c>
    </row>
    <row r="533" spans="1:19">
      <c r="A533" s="1" t="s">
        <v>34</v>
      </c>
      <c r="B533" s="2" t="s">
        <v>27</v>
      </c>
      <c r="C533" s="3" t="s">
        <v>48</v>
      </c>
      <c r="D533" s="3" t="s">
        <v>52</v>
      </c>
      <c r="E533" s="2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4">
        <v>45413</v>
      </c>
      <c r="N533" s="5">
        <v>5</v>
      </c>
      <c r="O533" s="3" t="s">
        <v>50</v>
      </c>
      <c r="P533" s="6" t="s">
        <v>24</v>
      </c>
      <c r="Q533" s="14">
        <f t="shared" si="24"/>
        <v>45413</v>
      </c>
      <c r="R533" s="15">
        <f t="shared" si="25"/>
        <v>-7.8651685393258425E-2</v>
      </c>
      <c r="S533" s="16">
        <f t="shared" si="26"/>
        <v>0.11</v>
      </c>
    </row>
    <row r="534" spans="1:19">
      <c r="A534" s="1" t="s">
        <v>34</v>
      </c>
      <c r="B534" s="2" t="s">
        <v>29</v>
      </c>
      <c r="C534" s="3" t="s">
        <v>48</v>
      </c>
      <c r="D534" s="3" t="s">
        <v>52</v>
      </c>
      <c r="E534" s="2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4">
        <v>45170</v>
      </c>
      <c r="N534" s="5">
        <v>9</v>
      </c>
      <c r="O534" s="3" t="s">
        <v>38</v>
      </c>
      <c r="P534" s="6" t="s">
        <v>40</v>
      </c>
      <c r="Q534" s="14">
        <f t="shared" si="24"/>
        <v>45170</v>
      </c>
      <c r="R534" s="15">
        <f t="shared" si="25"/>
        <v>-7.8651685393258425E-2</v>
      </c>
      <c r="S534" s="16">
        <f t="shared" si="26"/>
        <v>0.11</v>
      </c>
    </row>
    <row r="535" spans="1:19">
      <c r="A535" s="1" t="s">
        <v>19</v>
      </c>
      <c r="B535" s="2" t="s">
        <v>29</v>
      </c>
      <c r="C535" s="3" t="s">
        <v>48</v>
      </c>
      <c r="D535" s="3" t="s">
        <v>52</v>
      </c>
      <c r="E535" s="2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4">
        <v>45200</v>
      </c>
      <c r="N535" s="5">
        <v>10</v>
      </c>
      <c r="O535" s="3" t="s">
        <v>39</v>
      </c>
      <c r="P535" s="6" t="s">
        <v>40</v>
      </c>
      <c r="Q535" s="14">
        <f t="shared" si="24"/>
        <v>45200</v>
      </c>
      <c r="R535" s="15">
        <f t="shared" si="25"/>
        <v>0.1653290529695024</v>
      </c>
      <c r="S535" s="16">
        <f t="shared" si="26"/>
        <v>0.11</v>
      </c>
    </row>
    <row r="536" spans="1:19">
      <c r="A536" s="1" t="s">
        <v>26</v>
      </c>
      <c r="B536" s="2" t="s">
        <v>29</v>
      </c>
      <c r="C536" s="3" t="s">
        <v>48</v>
      </c>
      <c r="D536" s="3" t="s">
        <v>52</v>
      </c>
      <c r="E536" s="2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7225.9500000000007</v>
      </c>
      <c r="M536" s="4">
        <v>45627</v>
      </c>
      <c r="N536" s="5">
        <v>12</v>
      </c>
      <c r="O536" s="3" t="s">
        <v>30</v>
      </c>
      <c r="P536" s="6" t="s">
        <v>24</v>
      </c>
      <c r="Q536" s="14">
        <f t="shared" si="24"/>
        <v>45627</v>
      </c>
      <c r="R536" s="15">
        <f t="shared" si="25"/>
        <v>0.25093632958801498</v>
      </c>
      <c r="S536" s="16">
        <f t="shared" si="26"/>
        <v>0.11</v>
      </c>
    </row>
    <row r="537" spans="1:19">
      <c r="A537" s="1" t="s">
        <v>19</v>
      </c>
      <c r="B537" s="2" t="s">
        <v>41</v>
      </c>
      <c r="C537" s="3" t="s">
        <v>42</v>
      </c>
      <c r="D537" s="3" t="s">
        <v>52</v>
      </c>
      <c r="E537" s="2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467.40000000000009</v>
      </c>
      <c r="M537" s="4">
        <v>45170</v>
      </c>
      <c r="N537" s="5">
        <v>9</v>
      </c>
      <c r="O537" s="3" t="s">
        <v>38</v>
      </c>
      <c r="P537" s="6" t="s">
        <v>40</v>
      </c>
      <c r="Q537" s="14">
        <f t="shared" si="24"/>
        <v>45170</v>
      </c>
      <c r="R537" s="15">
        <f t="shared" si="25"/>
        <v>0.19743178170144465</v>
      </c>
      <c r="S537" s="16">
        <f t="shared" si="26"/>
        <v>0.11000000000000001</v>
      </c>
    </row>
    <row r="538" spans="1:19">
      <c r="A538" s="1" t="s">
        <v>19</v>
      </c>
      <c r="B538" s="2" t="s">
        <v>29</v>
      </c>
      <c r="C538" s="3" t="s">
        <v>21</v>
      </c>
      <c r="D538" s="3" t="s">
        <v>52</v>
      </c>
      <c r="E538" s="2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4">
        <v>45444</v>
      </c>
      <c r="N538" s="5">
        <v>6</v>
      </c>
      <c r="O538" s="3" t="s">
        <v>28</v>
      </c>
      <c r="P538" s="6" t="s">
        <v>24</v>
      </c>
      <c r="Q538" s="14">
        <f t="shared" si="24"/>
        <v>45444</v>
      </c>
      <c r="R538" s="15">
        <f t="shared" si="25"/>
        <v>0.15584415584415584</v>
      </c>
      <c r="S538" s="16">
        <f t="shared" si="26"/>
        <v>0.12</v>
      </c>
    </row>
    <row r="539" spans="1:19">
      <c r="A539" s="1" t="s">
        <v>34</v>
      </c>
      <c r="B539" s="2" t="s">
        <v>20</v>
      </c>
      <c r="C539" s="3" t="s">
        <v>21</v>
      </c>
      <c r="D539" s="3" t="s">
        <v>52</v>
      </c>
      <c r="E539" s="2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4">
        <v>45170</v>
      </c>
      <c r="N539" s="5">
        <v>9</v>
      </c>
      <c r="O539" s="3" t="s">
        <v>38</v>
      </c>
      <c r="P539" s="6" t="s">
        <v>40</v>
      </c>
      <c r="Q539" s="14">
        <f t="shared" si="24"/>
        <v>45170</v>
      </c>
      <c r="R539" s="15">
        <f t="shared" si="25"/>
        <v>-9.0909090909090912E-2</v>
      </c>
      <c r="S539" s="16">
        <f t="shared" si="26"/>
        <v>0.12</v>
      </c>
    </row>
    <row r="540" spans="1:19">
      <c r="A540" s="1" t="s">
        <v>34</v>
      </c>
      <c r="B540" s="2" t="s">
        <v>29</v>
      </c>
      <c r="C540" s="3" t="s">
        <v>21</v>
      </c>
      <c r="D540" s="3" t="s">
        <v>52</v>
      </c>
      <c r="E540" s="2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4">
        <v>45566</v>
      </c>
      <c r="N540" s="5">
        <v>10</v>
      </c>
      <c r="O540" s="3" t="s">
        <v>39</v>
      </c>
      <c r="P540" s="6" t="s">
        <v>24</v>
      </c>
      <c r="Q540" s="14">
        <f t="shared" si="24"/>
        <v>45566</v>
      </c>
      <c r="R540" s="15">
        <f t="shared" si="25"/>
        <v>-9.0909090909090912E-2</v>
      </c>
      <c r="S540" s="16">
        <f t="shared" si="26"/>
        <v>0.12</v>
      </c>
    </row>
    <row r="541" spans="1:19">
      <c r="A541" s="1" t="s">
        <v>26</v>
      </c>
      <c r="B541" s="2" t="s">
        <v>20</v>
      </c>
      <c r="C541" s="3" t="s">
        <v>21</v>
      </c>
      <c r="D541" s="3" t="s">
        <v>52</v>
      </c>
      <c r="E541" s="2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8604.8000000000029</v>
      </c>
      <c r="M541" s="4">
        <v>45597</v>
      </c>
      <c r="N541" s="5">
        <v>11</v>
      </c>
      <c r="O541" s="3" t="s">
        <v>44</v>
      </c>
      <c r="P541" s="6" t="s">
        <v>24</v>
      </c>
      <c r="Q541" s="14">
        <f t="shared" si="24"/>
        <v>45597</v>
      </c>
      <c r="R541" s="15">
        <f t="shared" si="25"/>
        <v>0.24242424242424249</v>
      </c>
      <c r="S541" s="16">
        <f t="shared" si="26"/>
        <v>0.12</v>
      </c>
    </row>
    <row r="542" spans="1:19">
      <c r="A542" s="1" t="s">
        <v>26</v>
      </c>
      <c r="B542" s="2" t="s">
        <v>41</v>
      </c>
      <c r="C542" s="3" t="s">
        <v>31</v>
      </c>
      <c r="D542" s="3" t="s">
        <v>52</v>
      </c>
      <c r="E542" s="2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2166.3999999999996</v>
      </c>
      <c r="M542" s="4">
        <v>45352</v>
      </c>
      <c r="N542" s="5">
        <v>3</v>
      </c>
      <c r="O542" s="3" t="s">
        <v>32</v>
      </c>
      <c r="P542" s="6" t="s">
        <v>24</v>
      </c>
      <c r="Q542" s="14">
        <f t="shared" si="24"/>
        <v>45352</v>
      </c>
      <c r="R542" s="15">
        <f t="shared" si="25"/>
        <v>0.2424242424242424</v>
      </c>
      <c r="S542" s="16">
        <f t="shared" si="26"/>
        <v>0.12</v>
      </c>
    </row>
    <row r="543" spans="1:19">
      <c r="A543" s="1" t="s">
        <v>36</v>
      </c>
      <c r="B543" s="2" t="s">
        <v>27</v>
      </c>
      <c r="C543" s="3" t="s">
        <v>31</v>
      </c>
      <c r="D543" s="3" t="s">
        <v>52</v>
      </c>
      <c r="E543" s="2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4">
        <v>45383</v>
      </c>
      <c r="N543" s="5">
        <v>4</v>
      </c>
      <c r="O543" s="3" t="s">
        <v>47</v>
      </c>
      <c r="P543" s="6" t="s">
        <v>24</v>
      </c>
      <c r="Q543" s="14">
        <f t="shared" si="24"/>
        <v>45383</v>
      </c>
      <c r="R543" s="15">
        <f t="shared" si="25"/>
        <v>5.3030303030303032E-2</v>
      </c>
      <c r="S543" s="16">
        <f t="shared" si="26"/>
        <v>0.12</v>
      </c>
    </row>
    <row r="544" spans="1:19">
      <c r="A544" s="1" t="s">
        <v>19</v>
      </c>
      <c r="B544" s="2" t="s">
        <v>29</v>
      </c>
      <c r="C544" s="3" t="s">
        <v>31</v>
      </c>
      <c r="D544" s="3" t="s">
        <v>52</v>
      </c>
      <c r="E544" s="2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2807.2000000000007</v>
      </c>
      <c r="M544" s="4">
        <v>45536</v>
      </c>
      <c r="N544" s="5">
        <v>9</v>
      </c>
      <c r="O544" s="3" t="s">
        <v>38</v>
      </c>
      <c r="P544" s="6" t="s">
        <v>24</v>
      </c>
      <c r="Q544" s="14">
        <f t="shared" si="24"/>
        <v>45536</v>
      </c>
      <c r="R544" s="15">
        <f t="shared" si="25"/>
        <v>0.18831168831168835</v>
      </c>
      <c r="S544" s="16">
        <f t="shared" si="26"/>
        <v>0.12</v>
      </c>
    </row>
    <row r="545" spans="1:19">
      <c r="A545" s="1" t="s">
        <v>19</v>
      </c>
      <c r="B545" s="2" t="s">
        <v>20</v>
      </c>
      <c r="C545" s="3" t="s">
        <v>31</v>
      </c>
      <c r="D545" s="3" t="s">
        <v>52</v>
      </c>
      <c r="E545" s="2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3171.4399999999987</v>
      </c>
      <c r="M545" s="4">
        <v>45566</v>
      </c>
      <c r="N545" s="5">
        <v>10</v>
      </c>
      <c r="O545" s="3" t="s">
        <v>39</v>
      </c>
      <c r="P545" s="6" t="s">
        <v>24</v>
      </c>
      <c r="Q545" s="14">
        <f t="shared" si="24"/>
        <v>45566</v>
      </c>
      <c r="R545" s="15">
        <f t="shared" si="25"/>
        <v>0.18831168831168824</v>
      </c>
      <c r="S545" s="16">
        <f t="shared" si="26"/>
        <v>0.12</v>
      </c>
    </row>
    <row r="546" spans="1:19">
      <c r="A546" s="1" t="s">
        <v>19</v>
      </c>
      <c r="B546" s="2" t="s">
        <v>29</v>
      </c>
      <c r="C546" s="3" t="s">
        <v>31</v>
      </c>
      <c r="D546" s="3" t="s">
        <v>52</v>
      </c>
      <c r="E546" s="2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4">
        <v>45200</v>
      </c>
      <c r="N546" s="5">
        <v>10</v>
      </c>
      <c r="O546" s="3" t="s">
        <v>39</v>
      </c>
      <c r="P546" s="6" t="s">
        <v>40</v>
      </c>
      <c r="Q546" s="14">
        <f t="shared" si="24"/>
        <v>45200</v>
      </c>
      <c r="R546" s="15">
        <f t="shared" si="25"/>
        <v>0.43181818181818182</v>
      </c>
      <c r="S546" s="16">
        <f t="shared" si="26"/>
        <v>0.12</v>
      </c>
    </row>
    <row r="547" spans="1:19">
      <c r="A547" s="1" t="s">
        <v>36</v>
      </c>
      <c r="B547" s="2" t="s">
        <v>27</v>
      </c>
      <c r="C547" s="3" t="s">
        <v>31</v>
      </c>
      <c r="D547" s="3" t="s">
        <v>52</v>
      </c>
      <c r="E547" s="2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4">
        <v>45261</v>
      </c>
      <c r="N547" s="5">
        <v>12</v>
      </c>
      <c r="O547" s="3" t="s">
        <v>30</v>
      </c>
      <c r="P547" s="6" t="s">
        <v>40</v>
      </c>
      <c r="Q547" s="14">
        <f t="shared" si="24"/>
        <v>45261</v>
      </c>
      <c r="R547" s="15">
        <f t="shared" si="25"/>
        <v>5.3030303030303032E-2</v>
      </c>
      <c r="S547" s="16">
        <f t="shared" si="26"/>
        <v>0.12</v>
      </c>
    </row>
    <row r="548" spans="1:19">
      <c r="A548" s="1" t="s">
        <v>36</v>
      </c>
      <c r="B548" s="2" t="s">
        <v>41</v>
      </c>
      <c r="C548" s="3" t="s">
        <v>42</v>
      </c>
      <c r="D548" s="3" t="s">
        <v>52</v>
      </c>
      <c r="E548" s="2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4">
        <v>45292</v>
      </c>
      <c r="N548" s="5">
        <v>1</v>
      </c>
      <c r="O548" s="3" t="s">
        <v>23</v>
      </c>
      <c r="P548" s="6" t="s">
        <v>24</v>
      </c>
      <c r="Q548" s="14">
        <f t="shared" si="24"/>
        <v>45292</v>
      </c>
      <c r="R548" s="15">
        <f t="shared" si="25"/>
        <v>5.3030303030303032E-2</v>
      </c>
      <c r="S548" s="16">
        <f t="shared" si="26"/>
        <v>0.12</v>
      </c>
    </row>
    <row r="549" spans="1:19">
      <c r="A549" s="1" t="s">
        <v>19</v>
      </c>
      <c r="B549" s="2" t="s">
        <v>29</v>
      </c>
      <c r="C549" s="3" t="s">
        <v>42</v>
      </c>
      <c r="D549" s="3" t="s">
        <v>52</v>
      </c>
      <c r="E549" s="2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4">
        <v>45444</v>
      </c>
      <c r="N549" s="5">
        <v>6</v>
      </c>
      <c r="O549" s="3" t="s">
        <v>28</v>
      </c>
      <c r="P549" s="6" t="s">
        <v>24</v>
      </c>
      <c r="Q549" s="14">
        <f t="shared" si="24"/>
        <v>45444</v>
      </c>
      <c r="R549" s="15">
        <f t="shared" si="25"/>
        <v>0.15584415584415584</v>
      </c>
      <c r="S549" s="16">
        <f t="shared" si="26"/>
        <v>0.12</v>
      </c>
    </row>
    <row r="550" spans="1:19">
      <c r="A550" s="1" t="s">
        <v>34</v>
      </c>
      <c r="B550" s="2" t="s">
        <v>29</v>
      </c>
      <c r="C550" s="3" t="s">
        <v>42</v>
      </c>
      <c r="D550" s="3" t="s">
        <v>52</v>
      </c>
      <c r="E550" s="2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4">
        <v>45566</v>
      </c>
      <c r="N550" s="5">
        <v>10</v>
      </c>
      <c r="O550" s="3" t="s">
        <v>39</v>
      </c>
      <c r="P550" s="6" t="s">
        <v>24</v>
      </c>
      <c r="Q550" s="14">
        <f t="shared" si="24"/>
        <v>45566</v>
      </c>
      <c r="R550" s="15">
        <f t="shared" si="25"/>
        <v>-9.0909090909090912E-2</v>
      </c>
      <c r="S550" s="16">
        <f t="shared" si="26"/>
        <v>0.12</v>
      </c>
    </row>
    <row r="551" spans="1:19">
      <c r="A551" s="1" t="s">
        <v>19</v>
      </c>
      <c r="B551" s="2" t="s">
        <v>29</v>
      </c>
      <c r="C551" s="3" t="s">
        <v>42</v>
      </c>
      <c r="D551" s="3" t="s">
        <v>52</v>
      </c>
      <c r="E551" s="2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4">
        <v>45566</v>
      </c>
      <c r="N551" s="5">
        <v>10</v>
      </c>
      <c r="O551" s="3" t="s">
        <v>39</v>
      </c>
      <c r="P551" s="6" t="s">
        <v>24</v>
      </c>
      <c r="Q551" s="14">
        <f t="shared" si="24"/>
        <v>45566</v>
      </c>
      <c r="R551" s="15">
        <f t="shared" si="25"/>
        <v>0.43181818181818182</v>
      </c>
      <c r="S551" s="16">
        <f t="shared" si="26"/>
        <v>0.12</v>
      </c>
    </row>
    <row r="552" spans="1:19">
      <c r="A552" s="1" t="s">
        <v>19</v>
      </c>
      <c r="B552" s="2" t="s">
        <v>29</v>
      </c>
      <c r="C552" s="3" t="s">
        <v>42</v>
      </c>
      <c r="D552" s="3" t="s">
        <v>52</v>
      </c>
      <c r="E552" s="2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4">
        <v>45200</v>
      </c>
      <c r="N552" s="5">
        <v>10</v>
      </c>
      <c r="O552" s="3" t="s">
        <v>39</v>
      </c>
      <c r="P552" s="6" t="s">
        <v>40</v>
      </c>
      <c r="Q552" s="14">
        <f t="shared" si="24"/>
        <v>45200</v>
      </c>
      <c r="R552" s="15">
        <f t="shared" si="25"/>
        <v>0.43181818181818182</v>
      </c>
      <c r="S552" s="16">
        <f t="shared" si="26"/>
        <v>0.12</v>
      </c>
    </row>
    <row r="553" spans="1:19">
      <c r="A553" s="1" t="s">
        <v>19</v>
      </c>
      <c r="B553" s="2" t="s">
        <v>27</v>
      </c>
      <c r="C553" s="3" t="s">
        <v>42</v>
      </c>
      <c r="D553" s="3" t="s">
        <v>52</v>
      </c>
      <c r="E553" s="2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4">
        <v>45597</v>
      </c>
      <c r="N553" s="5">
        <v>11</v>
      </c>
      <c r="O553" s="3" t="s">
        <v>44</v>
      </c>
      <c r="P553" s="6" t="s">
        <v>24</v>
      </c>
      <c r="Q553" s="14">
        <f t="shared" si="24"/>
        <v>45597</v>
      </c>
      <c r="R553" s="15">
        <f t="shared" si="25"/>
        <v>0.15584415584415584</v>
      </c>
      <c r="S553" s="16">
        <f t="shared" si="26"/>
        <v>0.12</v>
      </c>
    </row>
    <row r="554" spans="1:19">
      <c r="A554" s="1" t="s">
        <v>36</v>
      </c>
      <c r="B554" s="2" t="s">
        <v>25</v>
      </c>
      <c r="C554" s="3" t="s">
        <v>42</v>
      </c>
      <c r="D554" s="3" t="s">
        <v>52</v>
      </c>
      <c r="E554" s="2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4">
        <v>45597</v>
      </c>
      <c r="N554" s="5">
        <v>11</v>
      </c>
      <c r="O554" s="3" t="s">
        <v>44</v>
      </c>
      <c r="P554" s="6" t="s">
        <v>24</v>
      </c>
      <c r="Q554" s="14">
        <f t="shared" si="24"/>
        <v>45597</v>
      </c>
      <c r="R554" s="15">
        <f t="shared" si="25"/>
        <v>5.3030303030303032E-2</v>
      </c>
      <c r="S554" s="16">
        <f t="shared" si="26"/>
        <v>0.12</v>
      </c>
    </row>
    <row r="555" spans="1:19">
      <c r="A555" s="1" t="s">
        <v>36</v>
      </c>
      <c r="B555" s="2" t="s">
        <v>29</v>
      </c>
      <c r="C555" s="3" t="s">
        <v>42</v>
      </c>
      <c r="D555" s="3" t="s">
        <v>52</v>
      </c>
      <c r="E555" s="2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4">
        <v>45597</v>
      </c>
      <c r="N555" s="5">
        <v>11</v>
      </c>
      <c r="O555" s="3" t="s">
        <v>44</v>
      </c>
      <c r="P555" s="6" t="s">
        <v>24</v>
      </c>
      <c r="Q555" s="14">
        <f t="shared" si="24"/>
        <v>45597</v>
      </c>
      <c r="R555" s="15">
        <f t="shared" si="25"/>
        <v>5.3030303030303032E-2</v>
      </c>
      <c r="S555" s="16">
        <f t="shared" si="26"/>
        <v>0.12</v>
      </c>
    </row>
    <row r="556" spans="1:19">
      <c r="A556" s="1" t="s">
        <v>19</v>
      </c>
      <c r="B556" s="2" t="s">
        <v>29</v>
      </c>
      <c r="C556" s="3" t="s">
        <v>42</v>
      </c>
      <c r="D556" s="3" t="s">
        <v>52</v>
      </c>
      <c r="E556" s="2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4">
        <v>45597</v>
      </c>
      <c r="N556" s="5">
        <v>11</v>
      </c>
      <c r="O556" s="3" t="s">
        <v>44</v>
      </c>
      <c r="P556" s="6" t="s">
        <v>24</v>
      </c>
      <c r="Q556" s="14">
        <f t="shared" si="24"/>
        <v>45597</v>
      </c>
      <c r="R556" s="15">
        <f t="shared" si="25"/>
        <v>0.15584415584415584</v>
      </c>
      <c r="S556" s="16">
        <f t="shared" si="26"/>
        <v>0.12</v>
      </c>
    </row>
    <row r="557" spans="1:19">
      <c r="A557" s="1" t="s">
        <v>26</v>
      </c>
      <c r="B557" s="2" t="s">
        <v>29</v>
      </c>
      <c r="C557" s="3" t="s">
        <v>42</v>
      </c>
      <c r="D557" s="3" t="s">
        <v>52</v>
      </c>
      <c r="E557" s="2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4">
        <v>45261</v>
      </c>
      <c r="N557" s="5">
        <v>12</v>
      </c>
      <c r="O557" s="3" t="s">
        <v>30</v>
      </c>
      <c r="P557" s="6" t="s">
        <v>40</v>
      </c>
      <c r="Q557" s="14">
        <f t="shared" si="24"/>
        <v>45261</v>
      </c>
      <c r="R557" s="15">
        <f t="shared" si="25"/>
        <v>0.24242424242424243</v>
      </c>
      <c r="S557" s="16">
        <f t="shared" si="26"/>
        <v>0.12</v>
      </c>
    </row>
    <row r="558" spans="1:19">
      <c r="A558" s="1" t="s">
        <v>19</v>
      </c>
      <c r="B558" s="2" t="s">
        <v>29</v>
      </c>
      <c r="C558" s="3" t="s">
        <v>42</v>
      </c>
      <c r="D558" s="3" t="s">
        <v>52</v>
      </c>
      <c r="E558" s="2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4">
        <v>45627</v>
      </c>
      <c r="N558" s="5">
        <v>12</v>
      </c>
      <c r="O558" s="3" t="s">
        <v>30</v>
      </c>
      <c r="P558" s="6" t="s">
        <v>24</v>
      </c>
      <c r="Q558" s="14">
        <f t="shared" si="24"/>
        <v>45627</v>
      </c>
      <c r="R558" s="15">
        <f t="shared" si="25"/>
        <v>0.43181818181818182</v>
      </c>
      <c r="S558" s="16">
        <f t="shared" si="26"/>
        <v>0.12</v>
      </c>
    </row>
    <row r="559" spans="1:19">
      <c r="A559" s="1" t="s">
        <v>19</v>
      </c>
      <c r="B559" s="2" t="s">
        <v>29</v>
      </c>
      <c r="C559" s="3" t="s">
        <v>45</v>
      </c>
      <c r="D559" s="3" t="s">
        <v>52</v>
      </c>
      <c r="E559" s="2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4">
        <v>45474</v>
      </c>
      <c r="N559" s="5">
        <v>7</v>
      </c>
      <c r="O559" s="3" t="s">
        <v>35</v>
      </c>
      <c r="P559" s="6" t="s">
        <v>24</v>
      </c>
      <c r="Q559" s="14">
        <f t="shared" si="24"/>
        <v>45474</v>
      </c>
      <c r="R559" s="15">
        <f t="shared" si="25"/>
        <v>0.15584415584415584</v>
      </c>
      <c r="S559" s="16">
        <f t="shared" si="26"/>
        <v>0.12</v>
      </c>
    </row>
    <row r="560" spans="1:19">
      <c r="A560" s="1" t="s">
        <v>19</v>
      </c>
      <c r="B560" s="2" t="s">
        <v>41</v>
      </c>
      <c r="C560" s="3" t="s">
        <v>45</v>
      </c>
      <c r="D560" s="3" t="s">
        <v>52</v>
      </c>
      <c r="E560" s="2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4">
        <v>45566</v>
      </c>
      <c r="N560" s="5">
        <v>10</v>
      </c>
      <c r="O560" s="3" t="s">
        <v>39</v>
      </c>
      <c r="P560" s="6" t="s">
        <v>24</v>
      </c>
      <c r="Q560" s="14">
        <f t="shared" si="24"/>
        <v>45566</v>
      </c>
      <c r="R560" s="15">
        <f t="shared" si="25"/>
        <v>0.15584415584415584</v>
      </c>
      <c r="S560" s="16">
        <f t="shared" si="26"/>
        <v>0.12</v>
      </c>
    </row>
    <row r="561" spans="1:19">
      <c r="A561" s="1" t="s">
        <v>19</v>
      </c>
      <c r="B561" s="2" t="s">
        <v>29</v>
      </c>
      <c r="C561" s="3" t="s">
        <v>45</v>
      </c>
      <c r="D561" s="3" t="s">
        <v>52</v>
      </c>
      <c r="E561" s="2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4">
        <v>45566</v>
      </c>
      <c r="N561" s="5">
        <v>10</v>
      </c>
      <c r="O561" s="3" t="s">
        <v>39</v>
      </c>
      <c r="P561" s="6" t="s">
        <v>24</v>
      </c>
      <c r="Q561" s="14">
        <f t="shared" si="24"/>
        <v>45566</v>
      </c>
      <c r="R561" s="15">
        <f t="shared" si="25"/>
        <v>0.43181818181818182</v>
      </c>
      <c r="S561" s="16">
        <f t="shared" si="26"/>
        <v>0.12</v>
      </c>
    </row>
    <row r="562" spans="1:19">
      <c r="A562" s="1" t="s">
        <v>33</v>
      </c>
      <c r="B562" s="2" t="s">
        <v>20</v>
      </c>
      <c r="C562" s="3" t="s">
        <v>46</v>
      </c>
      <c r="D562" s="3" t="s">
        <v>52</v>
      </c>
      <c r="E562" s="2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4">
        <v>45413</v>
      </c>
      <c r="N562" s="5">
        <v>5</v>
      </c>
      <c r="O562" s="3" t="s">
        <v>50</v>
      </c>
      <c r="P562" s="6" t="s">
        <v>24</v>
      </c>
      <c r="Q562" s="14">
        <f t="shared" si="24"/>
        <v>45413</v>
      </c>
      <c r="R562" s="15">
        <f t="shared" si="25"/>
        <v>0.71590909090909094</v>
      </c>
      <c r="S562" s="16">
        <f t="shared" si="26"/>
        <v>0.12</v>
      </c>
    </row>
    <row r="563" spans="1:19">
      <c r="A563" s="1" t="s">
        <v>26</v>
      </c>
      <c r="B563" s="2" t="s">
        <v>27</v>
      </c>
      <c r="C563" s="3" t="s">
        <v>46</v>
      </c>
      <c r="D563" s="3" t="s">
        <v>52</v>
      </c>
      <c r="E563" s="2">
        <v>3874.5</v>
      </c>
      <c r="F563" s="3">
        <v>250</v>
      </c>
      <c r="G563" s="3">
        <v>15</v>
      </c>
      <c r="H563" s="3">
        <v>58117.5</v>
      </c>
      <c r="I563" s="3">
        <v>6974.0999999999995</v>
      </c>
      <c r="J563" s="3">
        <v>51143.399999999994</v>
      </c>
      <c r="K563" s="3">
        <v>38745</v>
      </c>
      <c r="L563" s="3">
        <v>12398.399999999998</v>
      </c>
      <c r="M563" s="4">
        <v>45474</v>
      </c>
      <c r="N563" s="5">
        <v>7</v>
      </c>
      <c r="O563" s="3" t="s">
        <v>35</v>
      </c>
      <c r="P563" s="6" t="s">
        <v>24</v>
      </c>
      <c r="Q563" s="14">
        <f t="shared" si="24"/>
        <v>45474</v>
      </c>
      <c r="R563" s="15">
        <f t="shared" si="25"/>
        <v>0.2424242424242424</v>
      </c>
      <c r="S563" s="16">
        <f t="shared" si="26"/>
        <v>0.12</v>
      </c>
    </row>
    <row r="564" spans="1:19">
      <c r="A564" s="1" t="s">
        <v>19</v>
      </c>
      <c r="B564" s="2" t="s">
        <v>20</v>
      </c>
      <c r="C564" s="3" t="s">
        <v>46</v>
      </c>
      <c r="D564" s="3" t="s">
        <v>52</v>
      </c>
      <c r="E564" s="2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4">
        <v>45170</v>
      </c>
      <c r="N564" s="5">
        <v>9</v>
      </c>
      <c r="O564" s="3" t="s">
        <v>38</v>
      </c>
      <c r="P564" s="6" t="s">
        <v>40</v>
      </c>
      <c r="Q564" s="14">
        <f t="shared" si="24"/>
        <v>45170</v>
      </c>
      <c r="R564" s="15">
        <f t="shared" si="25"/>
        <v>0.15584415584415584</v>
      </c>
      <c r="S564" s="16">
        <f t="shared" si="26"/>
        <v>0.12</v>
      </c>
    </row>
    <row r="565" spans="1:19">
      <c r="A565" s="1" t="s">
        <v>19</v>
      </c>
      <c r="B565" s="2" t="s">
        <v>41</v>
      </c>
      <c r="C565" s="3" t="s">
        <v>46</v>
      </c>
      <c r="D565" s="3" t="s">
        <v>52</v>
      </c>
      <c r="E565" s="2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4">
        <v>45566</v>
      </c>
      <c r="N565" s="5">
        <v>10</v>
      </c>
      <c r="O565" s="3" t="s">
        <v>39</v>
      </c>
      <c r="P565" s="6" t="s">
        <v>24</v>
      </c>
      <c r="Q565" s="14">
        <f t="shared" si="24"/>
        <v>45566</v>
      </c>
      <c r="R565" s="15">
        <f t="shared" si="25"/>
        <v>0.15584415584415584</v>
      </c>
      <c r="S565" s="16">
        <f t="shared" si="26"/>
        <v>0.12</v>
      </c>
    </row>
    <row r="566" spans="1:19">
      <c r="A566" s="1" t="s">
        <v>34</v>
      </c>
      <c r="B566" s="2" t="s">
        <v>41</v>
      </c>
      <c r="C566" s="3" t="s">
        <v>46</v>
      </c>
      <c r="D566" s="3" t="s">
        <v>52</v>
      </c>
      <c r="E566" s="2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4">
        <v>45597</v>
      </c>
      <c r="N566" s="5">
        <v>11</v>
      </c>
      <c r="O566" s="3" t="s">
        <v>44</v>
      </c>
      <c r="P566" s="6" t="s">
        <v>24</v>
      </c>
      <c r="Q566" s="14">
        <f t="shared" si="24"/>
        <v>45597</v>
      </c>
      <c r="R566" s="15">
        <f t="shared" si="25"/>
        <v>-9.0909090909090912E-2</v>
      </c>
      <c r="S566" s="16">
        <f t="shared" si="26"/>
        <v>0.12</v>
      </c>
    </row>
    <row r="567" spans="1:19">
      <c r="A567" s="1" t="s">
        <v>19</v>
      </c>
      <c r="B567" s="2" t="s">
        <v>29</v>
      </c>
      <c r="C567" s="3" t="s">
        <v>46</v>
      </c>
      <c r="D567" s="3" t="s">
        <v>52</v>
      </c>
      <c r="E567" s="2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4">
        <v>45627</v>
      </c>
      <c r="N567" s="5">
        <v>12</v>
      </c>
      <c r="O567" s="3" t="s">
        <v>30</v>
      </c>
      <c r="P567" s="6" t="s">
        <v>24</v>
      </c>
      <c r="Q567" s="14">
        <f t="shared" si="24"/>
        <v>45627</v>
      </c>
      <c r="R567" s="15">
        <f t="shared" si="25"/>
        <v>0.43181818181818182</v>
      </c>
      <c r="S567" s="16">
        <f t="shared" si="26"/>
        <v>0.12</v>
      </c>
    </row>
    <row r="568" spans="1:19">
      <c r="A568" s="1" t="s">
        <v>19</v>
      </c>
      <c r="B568" s="2" t="s">
        <v>41</v>
      </c>
      <c r="C568" s="3" t="s">
        <v>48</v>
      </c>
      <c r="D568" s="3" t="s">
        <v>52</v>
      </c>
      <c r="E568" s="2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4">
        <v>45323</v>
      </c>
      <c r="N568" s="5">
        <v>2</v>
      </c>
      <c r="O568" s="3" t="s">
        <v>43</v>
      </c>
      <c r="P568" s="6" t="s">
        <v>24</v>
      </c>
      <c r="Q568" s="14">
        <f t="shared" si="24"/>
        <v>45323</v>
      </c>
      <c r="R568" s="15">
        <f t="shared" si="25"/>
        <v>0.15584415584415584</v>
      </c>
      <c r="S568" s="16">
        <f t="shared" si="26"/>
        <v>0.12</v>
      </c>
    </row>
    <row r="569" spans="1:19">
      <c r="A569" s="1" t="s">
        <v>19</v>
      </c>
      <c r="B569" s="2" t="s">
        <v>27</v>
      </c>
      <c r="C569" s="3" t="s">
        <v>48</v>
      </c>
      <c r="D569" s="3" t="s">
        <v>52</v>
      </c>
      <c r="E569" s="2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3968.9399999999987</v>
      </c>
      <c r="M569" s="4">
        <v>45474</v>
      </c>
      <c r="N569" s="5">
        <v>7</v>
      </c>
      <c r="O569" s="3" t="s">
        <v>35</v>
      </c>
      <c r="P569" s="6" t="s">
        <v>24</v>
      </c>
      <c r="Q569" s="14">
        <f t="shared" si="24"/>
        <v>45474</v>
      </c>
      <c r="R569" s="15">
        <f t="shared" si="25"/>
        <v>0.18831168831168826</v>
      </c>
      <c r="S569" s="16">
        <f t="shared" si="26"/>
        <v>0.12</v>
      </c>
    </row>
    <row r="570" spans="1:19">
      <c r="A570" s="1" t="s">
        <v>19</v>
      </c>
      <c r="B570" s="2" t="s">
        <v>20</v>
      </c>
      <c r="C570" s="3" t="s">
        <v>48</v>
      </c>
      <c r="D570" s="3" t="s">
        <v>52</v>
      </c>
      <c r="E570" s="2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3171.4399999999987</v>
      </c>
      <c r="M570" s="4">
        <v>45566</v>
      </c>
      <c r="N570" s="5">
        <v>10</v>
      </c>
      <c r="O570" s="3" t="s">
        <v>39</v>
      </c>
      <c r="P570" s="6" t="s">
        <v>24</v>
      </c>
      <c r="Q570" s="14">
        <f t="shared" si="24"/>
        <v>45566</v>
      </c>
      <c r="R570" s="15">
        <f t="shared" si="25"/>
        <v>0.18831168831168824</v>
      </c>
      <c r="S570" s="16">
        <f t="shared" si="26"/>
        <v>0.12</v>
      </c>
    </row>
    <row r="571" spans="1:19">
      <c r="A571" s="1" t="s">
        <v>26</v>
      </c>
      <c r="B571" s="2" t="s">
        <v>41</v>
      </c>
      <c r="C571" s="3" t="s">
        <v>48</v>
      </c>
      <c r="D571" s="3" t="s">
        <v>52</v>
      </c>
      <c r="E571" s="2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8153.5999999999985</v>
      </c>
      <c r="M571" s="4">
        <v>45231</v>
      </c>
      <c r="N571" s="5">
        <v>11</v>
      </c>
      <c r="O571" s="3" t="s">
        <v>44</v>
      </c>
      <c r="P571" s="6" t="s">
        <v>40</v>
      </c>
      <c r="Q571" s="14">
        <f t="shared" si="24"/>
        <v>45231</v>
      </c>
      <c r="R571" s="15">
        <f t="shared" si="25"/>
        <v>0.2424242424242424</v>
      </c>
      <c r="S571" s="16">
        <f t="shared" si="26"/>
        <v>0.12</v>
      </c>
    </row>
    <row r="572" spans="1:19">
      <c r="A572" s="1" t="s">
        <v>19</v>
      </c>
      <c r="B572" s="2" t="s">
        <v>27</v>
      </c>
      <c r="C572" s="3" t="s">
        <v>21</v>
      </c>
      <c r="D572" s="3" t="s">
        <v>52</v>
      </c>
      <c r="E572" s="2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44378.399999999994</v>
      </c>
      <c r="K572" s="3">
        <v>25215</v>
      </c>
      <c r="L572" s="3">
        <v>19163.399999999998</v>
      </c>
      <c r="M572" s="4">
        <v>45292</v>
      </c>
      <c r="N572" s="5">
        <v>1</v>
      </c>
      <c r="O572" s="3" t="s">
        <v>23</v>
      </c>
      <c r="P572" s="6" t="s">
        <v>24</v>
      </c>
      <c r="Q572" s="14">
        <f t="shared" si="24"/>
        <v>45292</v>
      </c>
      <c r="R572" s="15">
        <f t="shared" si="25"/>
        <v>0.43181818181818182</v>
      </c>
      <c r="S572" s="16">
        <f t="shared" si="26"/>
        <v>0.12000000000000001</v>
      </c>
    </row>
    <row r="573" spans="1:19">
      <c r="A573" s="1" t="s">
        <v>33</v>
      </c>
      <c r="B573" s="2" t="s">
        <v>29</v>
      </c>
      <c r="C573" s="3" t="s">
        <v>31</v>
      </c>
      <c r="D573" s="3" t="s">
        <v>52</v>
      </c>
      <c r="E573" s="2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4">
        <v>45413</v>
      </c>
      <c r="N573" s="5">
        <v>5</v>
      </c>
      <c r="O573" s="3" t="s">
        <v>50</v>
      </c>
      <c r="P573" s="6" t="s">
        <v>24</v>
      </c>
      <c r="Q573" s="14">
        <f t="shared" si="24"/>
        <v>45413</v>
      </c>
      <c r="R573" s="15">
        <f t="shared" si="25"/>
        <v>0.71590909090909094</v>
      </c>
      <c r="S573" s="16">
        <f t="shared" si="26"/>
        <v>0.12000000000000001</v>
      </c>
    </row>
    <row r="574" spans="1:19">
      <c r="A574" s="1" t="s">
        <v>19</v>
      </c>
      <c r="B574" s="2" t="s">
        <v>25</v>
      </c>
      <c r="C574" s="3" t="s">
        <v>42</v>
      </c>
      <c r="D574" s="3" t="s">
        <v>52</v>
      </c>
      <c r="E574" s="2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11635.599999999999</v>
      </c>
      <c r="M574" s="4">
        <v>45627</v>
      </c>
      <c r="N574" s="5">
        <v>12</v>
      </c>
      <c r="O574" s="3" t="s">
        <v>30</v>
      </c>
      <c r="P574" s="6" t="s">
        <v>24</v>
      </c>
      <c r="Q574" s="14">
        <f t="shared" si="24"/>
        <v>45627</v>
      </c>
      <c r="R574" s="15">
        <f t="shared" si="25"/>
        <v>0.43181818181818177</v>
      </c>
      <c r="S574" s="16">
        <f t="shared" si="26"/>
        <v>0.12000000000000001</v>
      </c>
    </row>
    <row r="575" spans="1:19">
      <c r="A575" s="1" t="s">
        <v>19</v>
      </c>
      <c r="B575" s="2" t="s">
        <v>27</v>
      </c>
      <c r="C575" s="3" t="s">
        <v>46</v>
      </c>
      <c r="D575" s="3" t="s">
        <v>52</v>
      </c>
      <c r="E575" s="2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1729.5599999999995</v>
      </c>
      <c r="M575" s="4">
        <v>45352</v>
      </c>
      <c r="N575" s="5">
        <v>3</v>
      </c>
      <c r="O575" s="3" t="s">
        <v>32</v>
      </c>
      <c r="P575" s="6" t="s">
        <v>24</v>
      </c>
      <c r="Q575" s="14">
        <f t="shared" si="24"/>
        <v>45352</v>
      </c>
      <c r="R575" s="15">
        <f t="shared" si="25"/>
        <v>0.18831168831168826</v>
      </c>
      <c r="S575" s="16">
        <f t="shared" si="26"/>
        <v>0.12000000000000001</v>
      </c>
    </row>
    <row r="576" spans="1:19">
      <c r="A576" s="1" t="s">
        <v>19</v>
      </c>
      <c r="B576" s="2" t="s">
        <v>25</v>
      </c>
      <c r="C576" s="3" t="s">
        <v>46</v>
      </c>
      <c r="D576" s="3" t="s">
        <v>52</v>
      </c>
      <c r="E576" s="2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11635.599999999999</v>
      </c>
      <c r="M576" s="4">
        <v>45627</v>
      </c>
      <c r="N576" s="5">
        <v>12</v>
      </c>
      <c r="O576" s="3" t="s">
        <v>30</v>
      </c>
      <c r="P576" s="6" t="s">
        <v>24</v>
      </c>
      <c r="Q576" s="14">
        <f t="shared" si="24"/>
        <v>45627</v>
      </c>
      <c r="R576" s="15">
        <f t="shared" si="25"/>
        <v>0.43181818181818177</v>
      </c>
      <c r="S576" s="16">
        <f t="shared" si="26"/>
        <v>0.12000000000000001</v>
      </c>
    </row>
    <row r="577" spans="1:19">
      <c r="A577" s="1" t="s">
        <v>33</v>
      </c>
      <c r="B577" s="2" t="s">
        <v>20</v>
      </c>
      <c r="C577" s="3" t="s">
        <v>48</v>
      </c>
      <c r="D577" s="3" t="s">
        <v>52</v>
      </c>
      <c r="E577" s="2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4">
        <v>45170</v>
      </c>
      <c r="N577" s="5">
        <v>9</v>
      </c>
      <c r="O577" s="3" t="s">
        <v>38</v>
      </c>
      <c r="P577" s="6" t="s">
        <v>40</v>
      </c>
      <c r="Q577" s="14">
        <f t="shared" si="24"/>
        <v>45170</v>
      </c>
      <c r="R577" s="15">
        <f t="shared" si="25"/>
        <v>0.71590909090909094</v>
      </c>
      <c r="S577" s="16">
        <f t="shared" si="26"/>
        <v>0.12000000000000001</v>
      </c>
    </row>
    <row r="578" spans="1:19">
      <c r="A578" s="1" t="s">
        <v>26</v>
      </c>
      <c r="B578" s="2" t="s">
        <v>41</v>
      </c>
      <c r="C578" s="3" t="s">
        <v>21</v>
      </c>
      <c r="D578" s="3" t="s">
        <v>52</v>
      </c>
      <c r="E578" s="2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7829.3499999999985</v>
      </c>
      <c r="M578" s="4">
        <v>45444</v>
      </c>
      <c r="N578" s="5">
        <v>6</v>
      </c>
      <c r="O578" s="3" t="s">
        <v>28</v>
      </c>
      <c r="P578" s="6" t="s">
        <v>24</v>
      </c>
      <c r="Q578" s="14">
        <f t="shared" ref="Q578:Q641" si="27">DATE($P578,$N578,1)</f>
        <v>45444</v>
      </c>
      <c r="R578" s="15">
        <f t="shared" ref="R578:R641" si="28">IFERROR($L578/$J578,0)</f>
        <v>0.23371647509578541</v>
      </c>
      <c r="S578" s="16">
        <f t="shared" ref="S578:S641" si="29">IFERROR($I578/$H578,0)</f>
        <v>0.12999999999999998</v>
      </c>
    </row>
    <row r="579" spans="1:19">
      <c r="A579" s="1" t="s">
        <v>26</v>
      </c>
      <c r="B579" s="2" t="s">
        <v>41</v>
      </c>
      <c r="C579" s="3" t="s">
        <v>46</v>
      </c>
      <c r="D579" s="3" t="s">
        <v>52</v>
      </c>
      <c r="E579" s="2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7829.3499999999985</v>
      </c>
      <c r="M579" s="4">
        <v>45444</v>
      </c>
      <c r="N579" s="5">
        <v>6</v>
      </c>
      <c r="O579" s="3" t="s">
        <v>28</v>
      </c>
      <c r="P579" s="6" t="s">
        <v>24</v>
      </c>
      <c r="Q579" s="14">
        <f t="shared" si="27"/>
        <v>45444</v>
      </c>
      <c r="R579" s="15">
        <f t="shared" si="28"/>
        <v>0.23371647509578541</v>
      </c>
      <c r="S579" s="16">
        <f t="shared" si="29"/>
        <v>0.12999999999999998</v>
      </c>
    </row>
    <row r="580" spans="1:19">
      <c r="A580" s="1" t="s">
        <v>19</v>
      </c>
      <c r="B580" s="2" t="s">
        <v>20</v>
      </c>
      <c r="C580" s="3" t="s">
        <v>21</v>
      </c>
      <c r="D580" s="3" t="s">
        <v>52</v>
      </c>
      <c r="E580" s="2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4">
        <v>45352</v>
      </c>
      <c r="N580" s="5">
        <v>3</v>
      </c>
      <c r="O580" s="3" t="s">
        <v>32</v>
      </c>
      <c r="P580" s="6" t="s">
        <v>24</v>
      </c>
      <c r="Q580" s="14">
        <f t="shared" si="27"/>
        <v>45352</v>
      </c>
      <c r="R580" s="15">
        <f t="shared" si="28"/>
        <v>0.14614121510673234</v>
      </c>
      <c r="S580" s="16">
        <f t="shared" si="29"/>
        <v>0.13</v>
      </c>
    </row>
    <row r="581" spans="1:19">
      <c r="A581" s="1" t="s">
        <v>19</v>
      </c>
      <c r="B581" s="2" t="s">
        <v>27</v>
      </c>
      <c r="C581" s="3" t="s">
        <v>21</v>
      </c>
      <c r="D581" s="3" t="s">
        <v>52</v>
      </c>
      <c r="E581" s="2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4">
        <v>45352</v>
      </c>
      <c r="N581" s="5">
        <v>3</v>
      </c>
      <c r="O581" s="3" t="s">
        <v>32</v>
      </c>
      <c r="P581" s="6" t="s">
        <v>24</v>
      </c>
      <c r="Q581" s="14">
        <f t="shared" si="27"/>
        <v>45352</v>
      </c>
      <c r="R581" s="15">
        <f t="shared" si="28"/>
        <v>0.14614121510673234</v>
      </c>
      <c r="S581" s="16">
        <f t="shared" si="29"/>
        <v>0.13</v>
      </c>
    </row>
    <row r="582" spans="1:19">
      <c r="A582" s="1" t="s">
        <v>19</v>
      </c>
      <c r="B582" s="2" t="s">
        <v>25</v>
      </c>
      <c r="C582" s="3" t="s">
        <v>21</v>
      </c>
      <c r="D582" s="3" t="s">
        <v>52</v>
      </c>
      <c r="E582" s="2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4">
        <v>45170</v>
      </c>
      <c r="N582" s="5">
        <v>9</v>
      </c>
      <c r="O582" s="3" t="s">
        <v>38</v>
      </c>
      <c r="P582" s="6" t="s">
        <v>40</v>
      </c>
      <c r="Q582" s="14">
        <f t="shared" si="27"/>
        <v>45170</v>
      </c>
      <c r="R582" s="15">
        <f t="shared" si="28"/>
        <v>0.42528735632183912</v>
      </c>
      <c r="S582" s="16">
        <f t="shared" si="29"/>
        <v>0.13</v>
      </c>
    </row>
    <row r="583" spans="1:19">
      <c r="A583" s="1" t="s">
        <v>19</v>
      </c>
      <c r="B583" s="2" t="s">
        <v>41</v>
      </c>
      <c r="C583" s="3" t="s">
        <v>31</v>
      </c>
      <c r="D583" s="3" t="s">
        <v>52</v>
      </c>
      <c r="E583" s="2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4">
        <v>45292</v>
      </c>
      <c r="N583" s="5">
        <v>1</v>
      </c>
      <c r="O583" s="3" t="s">
        <v>23</v>
      </c>
      <c r="P583" s="6" t="s">
        <v>24</v>
      </c>
      <c r="Q583" s="14">
        <f t="shared" si="27"/>
        <v>45292</v>
      </c>
      <c r="R583" s="15">
        <f t="shared" si="28"/>
        <v>0.14614121510673234</v>
      </c>
      <c r="S583" s="16">
        <f t="shared" si="29"/>
        <v>0.13</v>
      </c>
    </row>
    <row r="584" spans="1:19">
      <c r="A584" s="1" t="s">
        <v>19</v>
      </c>
      <c r="B584" s="2" t="s">
        <v>41</v>
      </c>
      <c r="C584" s="3" t="s">
        <v>31</v>
      </c>
      <c r="D584" s="3" t="s">
        <v>52</v>
      </c>
      <c r="E584" s="2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1414.8199999999997</v>
      </c>
      <c r="M584" s="4">
        <v>45323</v>
      </c>
      <c r="N584" s="5">
        <v>2</v>
      </c>
      <c r="O584" s="3" t="s">
        <v>43</v>
      </c>
      <c r="P584" s="6" t="s">
        <v>24</v>
      </c>
      <c r="Q584" s="14">
        <f t="shared" si="27"/>
        <v>45323</v>
      </c>
      <c r="R584" s="15">
        <f t="shared" si="28"/>
        <v>0.17898193760262723</v>
      </c>
      <c r="S584" s="16">
        <f t="shared" si="29"/>
        <v>0.13</v>
      </c>
    </row>
    <row r="585" spans="1:19">
      <c r="A585" s="1" t="s">
        <v>33</v>
      </c>
      <c r="B585" s="2" t="s">
        <v>29</v>
      </c>
      <c r="C585" s="3" t="s">
        <v>31</v>
      </c>
      <c r="D585" s="3" t="s">
        <v>52</v>
      </c>
      <c r="E585" s="2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4">
        <v>45444</v>
      </c>
      <c r="N585" s="5">
        <v>6</v>
      </c>
      <c r="O585" s="3" t="s">
        <v>28</v>
      </c>
      <c r="P585" s="6" t="s">
        <v>24</v>
      </c>
      <c r="Q585" s="14">
        <f t="shared" si="27"/>
        <v>45444</v>
      </c>
      <c r="R585" s="15">
        <f t="shared" si="28"/>
        <v>0.71264367816091956</v>
      </c>
      <c r="S585" s="16">
        <f t="shared" si="29"/>
        <v>0.13</v>
      </c>
    </row>
    <row r="586" spans="1:19">
      <c r="A586" s="1" t="s">
        <v>19</v>
      </c>
      <c r="B586" s="2" t="s">
        <v>29</v>
      </c>
      <c r="C586" s="3" t="s">
        <v>31</v>
      </c>
      <c r="D586" s="3" t="s">
        <v>52</v>
      </c>
      <c r="E586" s="2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4">
        <v>45474</v>
      </c>
      <c r="N586" s="5">
        <v>7</v>
      </c>
      <c r="O586" s="3" t="s">
        <v>35</v>
      </c>
      <c r="P586" s="6" t="s">
        <v>24</v>
      </c>
      <c r="Q586" s="14">
        <f t="shared" si="27"/>
        <v>45474</v>
      </c>
      <c r="R586" s="15">
        <f t="shared" si="28"/>
        <v>0.42528735632183906</v>
      </c>
      <c r="S586" s="16">
        <f t="shared" si="29"/>
        <v>0.13</v>
      </c>
    </row>
    <row r="587" spans="1:19">
      <c r="A587" s="1" t="s">
        <v>19</v>
      </c>
      <c r="B587" s="2" t="s">
        <v>20</v>
      </c>
      <c r="C587" s="3" t="s">
        <v>31</v>
      </c>
      <c r="D587" s="3" t="s">
        <v>52</v>
      </c>
      <c r="E587" s="2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9242.5999999999985</v>
      </c>
      <c r="M587" s="4">
        <v>45566</v>
      </c>
      <c r="N587" s="5">
        <v>10</v>
      </c>
      <c r="O587" s="3" t="s">
        <v>39</v>
      </c>
      <c r="P587" s="6" t="s">
        <v>24</v>
      </c>
      <c r="Q587" s="14">
        <f t="shared" si="27"/>
        <v>45566</v>
      </c>
      <c r="R587" s="15">
        <f t="shared" si="28"/>
        <v>0.42528735632183906</v>
      </c>
      <c r="S587" s="16">
        <f t="shared" si="29"/>
        <v>0.13</v>
      </c>
    </row>
    <row r="588" spans="1:19">
      <c r="A588" s="1" t="s">
        <v>19</v>
      </c>
      <c r="B588" s="2" t="s">
        <v>41</v>
      </c>
      <c r="C588" s="3" t="s">
        <v>42</v>
      </c>
      <c r="D588" s="3" t="s">
        <v>52</v>
      </c>
      <c r="E588" s="2">
        <v>1438.5</v>
      </c>
      <c r="F588" s="3">
        <v>10</v>
      </c>
      <c r="G588" s="3">
        <v>7</v>
      </c>
      <c r="H588" s="3">
        <v>10069.5</v>
      </c>
      <c r="I588" s="3">
        <v>1309.0350000000001</v>
      </c>
      <c r="J588" s="3">
        <v>8760.4650000000001</v>
      </c>
      <c r="K588" s="3">
        <v>7192.5</v>
      </c>
      <c r="L588" s="3">
        <v>1567.9649999999992</v>
      </c>
      <c r="M588" s="4">
        <v>45292</v>
      </c>
      <c r="N588" s="5">
        <v>1</v>
      </c>
      <c r="O588" s="3" t="s">
        <v>23</v>
      </c>
      <c r="P588" s="6" t="s">
        <v>24</v>
      </c>
      <c r="Q588" s="14">
        <f t="shared" si="27"/>
        <v>45292</v>
      </c>
      <c r="R588" s="15">
        <f t="shared" si="28"/>
        <v>0.17898193760262718</v>
      </c>
      <c r="S588" s="16">
        <f t="shared" si="29"/>
        <v>0.13</v>
      </c>
    </row>
    <row r="589" spans="1:19">
      <c r="A589" s="1" t="s">
        <v>36</v>
      </c>
      <c r="B589" s="2" t="s">
        <v>25</v>
      </c>
      <c r="C589" s="3" t="s">
        <v>42</v>
      </c>
      <c r="D589" s="3" t="s">
        <v>52</v>
      </c>
      <c r="E589" s="2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4">
        <v>45292</v>
      </c>
      <c r="N589" s="5">
        <v>1</v>
      </c>
      <c r="O589" s="3" t="s">
        <v>23</v>
      </c>
      <c r="P589" s="6" t="s">
        <v>24</v>
      </c>
      <c r="Q589" s="14">
        <f t="shared" si="27"/>
        <v>45292</v>
      </c>
      <c r="R589" s="15">
        <f t="shared" si="28"/>
        <v>4.2145593869731802E-2</v>
      </c>
      <c r="S589" s="16">
        <f t="shared" si="29"/>
        <v>0.13</v>
      </c>
    </row>
    <row r="590" spans="1:19">
      <c r="A590" s="1" t="s">
        <v>19</v>
      </c>
      <c r="B590" s="2" t="s">
        <v>41</v>
      </c>
      <c r="C590" s="3" t="s">
        <v>42</v>
      </c>
      <c r="D590" s="3" t="s">
        <v>52</v>
      </c>
      <c r="E590" s="2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4">
        <v>45323</v>
      </c>
      <c r="N590" s="5">
        <v>2</v>
      </c>
      <c r="O590" s="3" t="s">
        <v>43</v>
      </c>
      <c r="P590" s="6" t="s">
        <v>24</v>
      </c>
      <c r="Q590" s="14">
        <f t="shared" si="27"/>
        <v>45323</v>
      </c>
      <c r="R590" s="15">
        <f t="shared" si="28"/>
        <v>0.42528735632183912</v>
      </c>
      <c r="S590" s="16">
        <f t="shared" si="29"/>
        <v>0.13</v>
      </c>
    </row>
    <row r="591" spans="1:19">
      <c r="A591" s="1" t="s">
        <v>19</v>
      </c>
      <c r="B591" s="2" t="s">
        <v>25</v>
      </c>
      <c r="C591" s="3" t="s">
        <v>42</v>
      </c>
      <c r="D591" s="3" t="s">
        <v>52</v>
      </c>
      <c r="E591" s="2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20039.199999999997</v>
      </c>
      <c r="M591" s="4">
        <v>45323</v>
      </c>
      <c r="N591" s="5">
        <v>2</v>
      </c>
      <c r="O591" s="3" t="s">
        <v>43</v>
      </c>
      <c r="P591" s="6" t="s">
        <v>24</v>
      </c>
      <c r="Q591" s="14">
        <f t="shared" si="27"/>
        <v>45323</v>
      </c>
      <c r="R591" s="15">
        <f t="shared" si="28"/>
        <v>0.42528735632183906</v>
      </c>
      <c r="S591" s="16">
        <f t="shared" si="29"/>
        <v>0.13</v>
      </c>
    </row>
    <row r="592" spans="1:19">
      <c r="A592" s="1" t="s">
        <v>19</v>
      </c>
      <c r="B592" s="2" t="s">
        <v>20</v>
      </c>
      <c r="C592" s="3" t="s">
        <v>42</v>
      </c>
      <c r="D592" s="3" t="s">
        <v>52</v>
      </c>
      <c r="E592" s="2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4">
        <v>45444</v>
      </c>
      <c r="N592" s="5">
        <v>6</v>
      </c>
      <c r="O592" s="3" t="s">
        <v>28</v>
      </c>
      <c r="P592" s="6" t="s">
        <v>24</v>
      </c>
      <c r="Q592" s="14">
        <f t="shared" si="27"/>
        <v>45444</v>
      </c>
      <c r="R592" s="15">
        <f t="shared" si="28"/>
        <v>0.14614121510673234</v>
      </c>
      <c r="S592" s="16">
        <f t="shared" si="29"/>
        <v>0.13</v>
      </c>
    </row>
    <row r="593" spans="1:19">
      <c r="A593" s="1" t="s">
        <v>34</v>
      </c>
      <c r="B593" s="2" t="s">
        <v>20</v>
      </c>
      <c r="C593" s="3" t="s">
        <v>42</v>
      </c>
      <c r="D593" s="3" t="s">
        <v>52</v>
      </c>
      <c r="E593" s="2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4">
        <v>45444</v>
      </c>
      <c r="N593" s="5">
        <v>6</v>
      </c>
      <c r="O593" s="3" t="s">
        <v>28</v>
      </c>
      <c r="P593" s="6" t="s">
        <v>24</v>
      </c>
      <c r="Q593" s="14">
        <f t="shared" si="27"/>
        <v>45444</v>
      </c>
      <c r="R593" s="15">
        <f t="shared" si="28"/>
        <v>-0.10344827586206896</v>
      </c>
      <c r="S593" s="16">
        <f t="shared" si="29"/>
        <v>0.13</v>
      </c>
    </row>
    <row r="594" spans="1:19">
      <c r="A594" s="1" t="s">
        <v>33</v>
      </c>
      <c r="B594" s="2" t="s">
        <v>29</v>
      </c>
      <c r="C594" s="3" t="s">
        <v>42</v>
      </c>
      <c r="D594" s="3" t="s">
        <v>52</v>
      </c>
      <c r="E594" s="2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4">
        <v>45474</v>
      </c>
      <c r="N594" s="5">
        <v>7</v>
      </c>
      <c r="O594" s="3" t="s">
        <v>35</v>
      </c>
      <c r="P594" s="6" t="s">
        <v>24</v>
      </c>
      <c r="Q594" s="14">
        <f t="shared" si="27"/>
        <v>45474</v>
      </c>
      <c r="R594" s="15">
        <f t="shared" si="28"/>
        <v>0.71264367816091956</v>
      </c>
      <c r="S594" s="16">
        <f t="shared" si="29"/>
        <v>0.13</v>
      </c>
    </row>
    <row r="595" spans="1:19">
      <c r="A595" s="1" t="s">
        <v>19</v>
      </c>
      <c r="B595" s="2" t="s">
        <v>27</v>
      </c>
      <c r="C595" s="3" t="s">
        <v>42</v>
      </c>
      <c r="D595" s="3" t="s">
        <v>52</v>
      </c>
      <c r="E595" s="2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2938.6399999999994</v>
      </c>
      <c r="M595" s="4">
        <v>45505</v>
      </c>
      <c r="N595" s="5">
        <v>8</v>
      </c>
      <c r="O595" s="3" t="s">
        <v>37</v>
      </c>
      <c r="P595" s="6" t="s">
        <v>24</v>
      </c>
      <c r="Q595" s="14">
        <f t="shared" si="27"/>
        <v>45505</v>
      </c>
      <c r="R595" s="15">
        <f t="shared" si="28"/>
        <v>0.17898193760262723</v>
      </c>
      <c r="S595" s="16">
        <f t="shared" si="29"/>
        <v>0.13</v>
      </c>
    </row>
    <row r="596" spans="1:19">
      <c r="A596" s="1" t="s">
        <v>26</v>
      </c>
      <c r="B596" s="2" t="s">
        <v>20</v>
      </c>
      <c r="C596" s="3" t="s">
        <v>42</v>
      </c>
      <c r="D596" s="3" t="s">
        <v>52</v>
      </c>
      <c r="E596" s="2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4">
        <v>45566</v>
      </c>
      <c r="N596" s="5">
        <v>10</v>
      </c>
      <c r="O596" s="3" t="s">
        <v>39</v>
      </c>
      <c r="P596" s="6" t="s">
        <v>24</v>
      </c>
      <c r="Q596" s="14">
        <f t="shared" si="27"/>
        <v>45566</v>
      </c>
      <c r="R596" s="15">
        <f t="shared" si="28"/>
        <v>0.23371647509578544</v>
      </c>
      <c r="S596" s="16">
        <f t="shared" si="29"/>
        <v>0.13</v>
      </c>
    </row>
    <row r="597" spans="1:19">
      <c r="A597" s="1" t="s">
        <v>19</v>
      </c>
      <c r="B597" s="2" t="s">
        <v>20</v>
      </c>
      <c r="C597" s="3" t="s">
        <v>42</v>
      </c>
      <c r="D597" s="3" t="s">
        <v>52</v>
      </c>
      <c r="E597" s="2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9242.5999999999985</v>
      </c>
      <c r="M597" s="4">
        <v>45566</v>
      </c>
      <c r="N597" s="5">
        <v>10</v>
      </c>
      <c r="O597" s="3" t="s">
        <v>39</v>
      </c>
      <c r="P597" s="6" t="s">
        <v>24</v>
      </c>
      <c r="Q597" s="14">
        <f t="shared" si="27"/>
        <v>45566</v>
      </c>
      <c r="R597" s="15">
        <f t="shared" si="28"/>
        <v>0.42528735632183906</v>
      </c>
      <c r="S597" s="16">
        <f t="shared" si="29"/>
        <v>0.13</v>
      </c>
    </row>
    <row r="598" spans="1:19">
      <c r="A598" s="1" t="s">
        <v>19</v>
      </c>
      <c r="B598" s="2" t="s">
        <v>25</v>
      </c>
      <c r="C598" s="3" t="s">
        <v>42</v>
      </c>
      <c r="D598" s="3" t="s">
        <v>52</v>
      </c>
      <c r="E598" s="2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4">
        <v>45597</v>
      </c>
      <c r="N598" s="5">
        <v>11</v>
      </c>
      <c r="O598" s="3" t="s">
        <v>44</v>
      </c>
      <c r="P598" s="6" t="s">
        <v>24</v>
      </c>
      <c r="Q598" s="14">
        <f t="shared" si="27"/>
        <v>45597</v>
      </c>
      <c r="R598" s="15">
        <f t="shared" si="28"/>
        <v>0.14614121510673234</v>
      </c>
      <c r="S598" s="16">
        <f t="shared" si="29"/>
        <v>0.13</v>
      </c>
    </row>
    <row r="599" spans="1:19">
      <c r="A599" s="1" t="s">
        <v>33</v>
      </c>
      <c r="B599" s="2" t="s">
        <v>25</v>
      </c>
      <c r="C599" s="3" t="s">
        <v>42</v>
      </c>
      <c r="D599" s="3" t="s">
        <v>52</v>
      </c>
      <c r="E599" s="2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7536.7199999999993</v>
      </c>
      <c r="M599" s="4">
        <v>45627</v>
      </c>
      <c r="N599" s="5">
        <v>12</v>
      </c>
      <c r="O599" s="3" t="s">
        <v>30</v>
      </c>
      <c r="P599" s="6" t="s">
        <v>24</v>
      </c>
      <c r="Q599" s="14">
        <f t="shared" si="27"/>
        <v>45627</v>
      </c>
      <c r="R599" s="15">
        <f t="shared" si="28"/>
        <v>0.71264367816091956</v>
      </c>
      <c r="S599" s="16">
        <f t="shared" si="29"/>
        <v>0.13</v>
      </c>
    </row>
    <row r="600" spans="1:19">
      <c r="A600" s="1" t="s">
        <v>26</v>
      </c>
      <c r="B600" s="2" t="s">
        <v>27</v>
      </c>
      <c r="C600" s="3" t="s">
        <v>45</v>
      </c>
      <c r="D600" s="3" t="s">
        <v>52</v>
      </c>
      <c r="E600" s="2">
        <v>3997.5</v>
      </c>
      <c r="F600" s="3">
        <v>120</v>
      </c>
      <c r="G600" s="3">
        <v>15</v>
      </c>
      <c r="H600" s="3">
        <v>59962.5</v>
      </c>
      <c r="I600" s="3">
        <v>7795.125</v>
      </c>
      <c r="J600" s="3">
        <v>52167.375</v>
      </c>
      <c r="K600" s="3">
        <v>39975</v>
      </c>
      <c r="L600" s="3">
        <v>12192.375</v>
      </c>
      <c r="M600" s="4">
        <v>45292</v>
      </c>
      <c r="N600" s="5">
        <v>1</v>
      </c>
      <c r="O600" s="3" t="s">
        <v>23</v>
      </c>
      <c r="P600" s="6" t="s">
        <v>24</v>
      </c>
      <c r="Q600" s="14">
        <f t="shared" si="27"/>
        <v>45292</v>
      </c>
      <c r="R600" s="15">
        <f t="shared" si="28"/>
        <v>0.23371647509578544</v>
      </c>
      <c r="S600" s="16">
        <f t="shared" si="29"/>
        <v>0.13</v>
      </c>
    </row>
    <row r="601" spans="1:19">
      <c r="A601" s="1" t="s">
        <v>19</v>
      </c>
      <c r="B601" s="2" t="s">
        <v>20</v>
      </c>
      <c r="C601" s="3" t="s">
        <v>45</v>
      </c>
      <c r="D601" s="3" t="s">
        <v>52</v>
      </c>
      <c r="E601" s="2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4">
        <v>45444</v>
      </c>
      <c r="N601" s="5">
        <v>6</v>
      </c>
      <c r="O601" s="3" t="s">
        <v>28</v>
      </c>
      <c r="P601" s="6" t="s">
        <v>24</v>
      </c>
      <c r="Q601" s="14">
        <f t="shared" si="27"/>
        <v>45444</v>
      </c>
      <c r="R601" s="15">
        <f t="shared" si="28"/>
        <v>0.14614121510673234</v>
      </c>
      <c r="S601" s="16">
        <f t="shared" si="29"/>
        <v>0.13</v>
      </c>
    </row>
    <row r="602" spans="1:19">
      <c r="A602" s="1" t="s">
        <v>19</v>
      </c>
      <c r="B602" s="2" t="s">
        <v>27</v>
      </c>
      <c r="C602" s="3" t="s">
        <v>45</v>
      </c>
      <c r="D602" s="3" t="s">
        <v>52</v>
      </c>
      <c r="E602" s="2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1297.1000000000004</v>
      </c>
      <c r="M602" s="4">
        <v>45444</v>
      </c>
      <c r="N602" s="5">
        <v>6</v>
      </c>
      <c r="O602" s="3" t="s">
        <v>28</v>
      </c>
      <c r="P602" s="6" t="s">
        <v>24</v>
      </c>
      <c r="Q602" s="14">
        <f t="shared" si="27"/>
        <v>45444</v>
      </c>
      <c r="R602" s="15">
        <f t="shared" si="28"/>
        <v>0.17898193760262729</v>
      </c>
      <c r="S602" s="16">
        <f t="shared" si="29"/>
        <v>0.13</v>
      </c>
    </row>
    <row r="603" spans="1:19">
      <c r="A603" s="1" t="s">
        <v>33</v>
      </c>
      <c r="B603" s="2" t="s">
        <v>29</v>
      </c>
      <c r="C603" s="3" t="s">
        <v>45</v>
      </c>
      <c r="D603" s="3" t="s">
        <v>52</v>
      </c>
      <c r="E603" s="2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4">
        <v>45444</v>
      </c>
      <c r="N603" s="5">
        <v>6</v>
      </c>
      <c r="O603" s="3" t="s">
        <v>28</v>
      </c>
      <c r="P603" s="6" t="s">
        <v>24</v>
      </c>
      <c r="Q603" s="14">
        <f t="shared" si="27"/>
        <v>45444</v>
      </c>
      <c r="R603" s="15">
        <f t="shared" si="28"/>
        <v>0.71264367816091956</v>
      </c>
      <c r="S603" s="16">
        <f t="shared" si="29"/>
        <v>0.13</v>
      </c>
    </row>
    <row r="604" spans="1:19">
      <c r="A604" s="1" t="s">
        <v>26</v>
      </c>
      <c r="B604" s="2" t="s">
        <v>25</v>
      </c>
      <c r="C604" s="3" t="s">
        <v>45</v>
      </c>
      <c r="D604" s="3" t="s">
        <v>52</v>
      </c>
      <c r="E604" s="2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2023</v>
      </c>
      <c r="M604" s="4">
        <v>45170</v>
      </c>
      <c r="N604" s="5">
        <v>9</v>
      </c>
      <c r="O604" s="3" t="s">
        <v>38</v>
      </c>
      <c r="P604" s="6" t="s">
        <v>40</v>
      </c>
      <c r="Q604" s="14">
        <f t="shared" si="27"/>
        <v>45170</v>
      </c>
      <c r="R604" s="15">
        <f t="shared" si="28"/>
        <v>0.23487751073957971</v>
      </c>
      <c r="S604" s="16">
        <f t="shared" si="29"/>
        <v>0.13</v>
      </c>
    </row>
    <row r="605" spans="1:19">
      <c r="A605" s="1" t="s">
        <v>33</v>
      </c>
      <c r="B605" s="2" t="s">
        <v>29</v>
      </c>
      <c r="C605" s="3" t="s">
        <v>45</v>
      </c>
      <c r="D605" s="3" t="s">
        <v>52</v>
      </c>
      <c r="E605" s="2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3050.3999999999996</v>
      </c>
      <c r="M605" s="4">
        <v>45566</v>
      </c>
      <c r="N605" s="5">
        <v>10</v>
      </c>
      <c r="O605" s="3" t="s">
        <v>39</v>
      </c>
      <c r="P605" s="6" t="s">
        <v>24</v>
      </c>
      <c r="Q605" s="14">
        <f t="shared" si="27"/>
        <v>45566</v>
      </c>
      <c r="R605" s="15">
        <f t="shared" si="28"/>
        <v>0.71264367816091956</v>
      </c>
      <c r="S605" s="16">
        <f t="shared" si="29"/>
        <v>0.13</v>
      </c>
    </row>
    <row r="606" spans="1:19">
      <c r="A606" s="1" t="s">
        <v>36</v>
      </c>
      <c r="B606" s="2" t="s">
        <v>29</v>
      </c>
      <c r="C606" s="3" t="s">
        <v>45</v>
      </c>
      <c r="D606" s="3" t="s">
        <v>52</v>
      </c>
      <c r="E606" s="2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4">
        <v>45231</v>
      </c>
      <c r="N606" s="5">
        <v>11</v>
      </c>
      <c r="O606" s="3" t="s">
        <v>44</v>
      </c>
      <c r="P606" s="6" t="s">
        <v>40</v>
      </c>
      <c r="Q606" s="14">
        <f t="shared" si="27"/>
        <v>45231</v>
      </c>
      <c r="R606" s="15">
        <f t="shared" si="28"/>
        <v>4.2145593869731802E-2</v>
      </c>
      <c r="S606" s="16">
        <f t="shared" si="29"/>
        <v>0.13</v>
      </c>
    </row>
    <row r="607" spans="1:19">
      <c r="A607" s="1" t="s">
        <v>33</v>
      </c>
      <c r="B607" s="2" t="s">
        <v>25</v>
      </c>
      <c r="C607" s="3" t="s">
        <v>45</v>
      </c>
      <c r="D607" s="3" t="s">
        <v>52</v>
      </c>
      <c r="E607" s="2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7536.7199999999993</v>
      </c>
      <c r="M607" s="4">
        <v>45627</v>
      </c>
      <c r="N607" s="5">
        <v>12</v>
      </c>
      <c r="O607" s="3" t="s">
        <v>30</v>
      </c>
      <c r="P607" s="6" t="s">
        <v>24</v>
      </c>
      <c r="Q607" s="14">
        <f t="shared" si="27"/>
        <v>45627</v>
      </c>
      <c r="R607" s="15">
        <f t="shared" si="28"/>
        <v>0.71264367816091956</v>
      </c>
      <c r="S607" s="16">
        <f t="shared" si="29"/>
        <v>0.13</v>
      </c>
    </row>
    <row r="608" spans="1:19">
      <c r="A608" s="1" t="s">
        <v>34</v>
      </c>
      <c r="B608" s="2" t="s">
        <v>20</v>
      </c>
      <c r="C608" s="3" t="s">
        <v>46</v>
      </c>
      <c r="D608" s="3" t="s">
        <v>52</v>
      </c>
      <c r="E608" s="2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4">
        <v>45444</v>
      </c>
      <c r="N608" s="5">
        <v>6</v>
      </c>
      <c r="O608" s="3" t="s">
        <v>28</v>
      </c>
      <c r="P608" s="6" t="s">
        <v>24</v>
      </c>
      <c r="Q608" s="14">
        <f t="shared" si="27"/>
        <v>45444</v>
      </c>
      <c r="R608" s="15">
        <f t="shared" si="28"/>
        <v>-0.10344827586206896</v>
      </c>
      <c r="S608" s="16">
        <f t="shared" si="29"/>
        <v>0.13</v>
      </c>
    </row>
    <row r="609" spans="1:19">
      <c r="A609" s="1" t="s">
        <v>26</v>
      </c>
      <c r="B609" s="2" t="s">
        <v>20</v>
      </c>
      <c r="C609" s="3" t="s">
        <v>46</v>
      </c>
      <c r="D609" s="3" t="s">
        <v>52</v>
      </c>
      <c r="E609" s="2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4">
        <v>45566</v>
      </c>
      <c r="N609" s="5">
        <v>10</v>
      </c>
      <c r="O609" s="3" t="s">
        <v>39</v>
      </c>
      <c r="P609" s="6" t="s">
        <v>24</v>
      </c>
      <c r="Q609" s="14">
        <f t="shared" si="27"/>
        <v>45566</v>
      </c>
      <c r="R609" s="15">
        <f t="shared" si="28"/>
        <v>0.23371647509578544</v>
      </c>
      <c r="S609" s="16">
        <f t="shared" si="29"/>
        <v>0.13</v>
      </c>
    </row>
    <row r="610" spans="1:19">
      <c r="A610" s="1" t="s">
        <v>34</v>
      </c>
      <c r="B610" s="2" t="s">
        <v>20</v>
      </c>
      <c r="C610" s="3" t="s">
        <v>48</v>
      </c>
      <c r="D610" s="3" t="s">
        <v>52</v>
      </c>
      <c r="E610" s="2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4">
        <v>45292</v>
      </c>
      <c r="N610" s="5">
        <v>1</v>
      </c>
      <c r="O610" s="3" t="s">
        <v>23</v>
      </c>
      <c r="P610" s="6" t="s">
        <v>24</v>
      </c>
      <c r="Q610" s="14">
        <f t="shared" si="27"/>
        <v>45292</v>
      </c>
      <c r="R610" s="15">
        <f t="shared" si="28"/>
        <v>-0.10344827586206896</v>
      </c>
      <c r="S610" s="16">
        <f t="shared" si="29"/>
        <v>0.13</v>
      </c>
    </row>
    <row r="611" spans="1:19">
      <c r="A611" s="1" t="s">
        <v>19</v>
      </c>
      <c r="B611" s="2" t="s">
        <v>27</v>
      </c>
      <c r="C611" s="3" t="s">
        <v>48</v>
      </c>
      <c r="D611" s="3" t="s">
        <v>52</v>
      </c>
      <c r="E611" s="2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1297.1000000000004</v>
      </c>
      <c r="M611" s="4">
        <v>45444</v>
      </c>
      <c r="N611" s="5">
        <v>6</v>
      </c>
      <c r="O611" s="3" t="s">
        <v>28</v>
      </c>
      <c r="P611" s="6" t="s">
        <v>24</v>
      </c>
      <c r="Q611" s="14">
        <f t="shared" si="27"/>
        <v>45444</v>
      </c>
      <c r="R611" s="15">
        <f t="shared" si="28"/>
        <v>0.17898193760262729</v>
      </c>
      <c r="S611" s="16">
        <f t="shared" si="29"/>
        <v>0.13</v>
      </c>
    </row>
    <row r="612" spans="1:19">
      <c r="A612" s="1" t="s">
        <v>33</v>
      </c>
      <c r="B612" s="2" t="s">
        <v>29</v>
      </c>
      <c r="C612" s="3" t="s">
        <v>48</v>
      </c>
      <c r="D612" s="3" t="s">
        <v>52</v>
      </c>
      <c r="E612" s="2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3050.3999999999996</v>
      </c>
      <c r="M612" s="4">
        <v>45566</v>
      </c>
      <c r="N612" s="5">
        <v>10</v>
      </c>
      <c r="O612" s="3" t="s">
        <v>39</v>
      </c>
      <c r="P612" s="6" t="s">
        <v>24</v>
      </c>
      <c r="Q612" s="14">
        <f t="shared" si="27"/>
        <v>45566</v>
      </c>
      <c r="R612" s="15">
        <f t="shared" si="28"/>
        <v>0.71264367816091956</v>
      </c>
      <c r="S612" s="16">
        <f t="shared" si="29"/>
        <v>0.13</v>
      </c>
    </row>
    <row r="613" spans="1:19">
      <c r="A613" s="1" t="s">
        <v>33</v>
      </c>
      <c r="B613" s="2" t="s">
        <v>25</v>
      </c>
      <c r="C613" s="3" t="s">
        <v>48</v>
      </c>
      <c r="D613" s="3" t="s">
        <v>52</v>
      </c>
      <c r="E613" s="2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4">
        <v>45261</v>
      </c>
      <c r="N613" s="5">
        <v>12</v>
      </c>
      <c r="O613" s="3" t="s">
        <v>30</v>
      </c>
      <c r="P613" s="6" t="s">
        <v>40</v>
      </c>
      <c r="Q613" s="14">
        <f t="shared" si="27"/>
        <v>45261</v>
      </c>
      <c r="R613" s="15">
        <f t="shared" si="28"/>
        <v>0.71264367816091956</v>
      </c>
      <c r="S613" s="16">
        <f t="shared" si="29"/>
        <v>0.13</v>
      </c>
    </row>
    <row r="614" spans="1:19">
      <c r="A614" s="1" t="s">
        <v>19</v>
      </c>
      <c r="B614" s="2" t="s">
        <v>29</v>
      </c>
      <c r="C614" s="3" t="s">
        <v>21</v>
      </c>
      <c r="D614" s="3" t="s">
        <v>52</v>
      </c>
      <c r="E614" s="2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18568.800000000003</v>
      </c>
      <c r="M614" s="4">
        <v>45383</v>
      </c>
      <c r="N614" s="5">
        <v>4</v>
      </c>
      <c r="O614" s="3" t="s">
        <v>47</v>
      </c>
      <c r="P614" s="6" t="s">
        <v>24</v>
      </c>
      <c r="Q614" s="14">
        <f t="shared" si="27"/>
        <v>45383</v>
      </c>
      <c r="R614" s="15">
        <f t="shared" si="28"/>
        <v>0.41860465116279072</v>
      </c>
      <c r="S614" s="16">
        <f t="shared" si="29"/>
        <v>0.13999999999999999</v>
      </c>
    </row>
    <row r="615" spans="1:19">
      <c r="A615" s="1" t="s">
        <v>19</v>
      </c>
      <c r="B615" s="2" t="s">
        <v>41</v>
      </c>
      <c r="C615" s="3" t="s">
        <v>21</v>
      </c>
      <c r="D615" s="3" t="s">
        <v>52</v>
      </c>
      <c r="E615" s="2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12549.599999999999</v>
      </c>
      <c r="M615" s="4">
        <v>45413</v>
      </c>
      <c r="N615" s="5">
        <v>5</v>
      </c>
      <c r="O615" s="3" t="s">
        <v>50</v>
      </c>
      <c r="P615" s="6" t="s">
        <v>24</v>
      </c>
      <c r="Q615" s="14">
        <f t="shared" si="27"/>
        <v>45413</v>
      </c>
      <c r="R615" s="15">
        <f t="shared" si="28"/>
        <v>0.41860465116279066</v>
      </c>
      <c r="S615" s="16">
        <f t="shared" si="29"/>
        <v>0.13999999999999999</v>
      </c>
    </row>
    <row r="616" spans="1:19">
      <c r="A616" s="1" t="s">
        <v>19</v>
      </c>
      <c r="B616" s="2" t="s">
        <v>41</v>
      </c>
      <c r="C616" s="3" t="s">
        <v>21</v>
      </c>
      <c r="D616" s="3" t="s">
        <v>52</v>
      </c>
      <c r="E616" s="2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3055.9199999999983</v>
      </c>
      <c r="M616" s="4">
        <v>45200</v>
      </c>
      <c r="N616" s="5">
        <v>10</v>
      </c>
      <c r="O616" s="3" t="s">
        <v>39</v>
      </c>
      <c r="P616" s="6" t="s">
        <v>40</v>
      </c>
      <c r="Q616" s="14">
        <f t="shared" si="27"/>
        <v>45200</v>
      </c>
      <c r="R616" s="15">
        <f t="shared" si="28"/>
        <v>0.16943521594684377</v>
      </c>
      <c r="S616" s="16">
        <f t="shared" si="29"/>
        <v>0.13999999999999999</v>
      </c>
    </row>
    <row r="617" spans="1:19">
      <c r="A617" s="1" t="s">
        <v>19</v>
      </c>
      <c r="B617" s="2" t="s">
        <v>25</v>
      </c>
      <c r="C617" s="3" t="s">
        <v>21</v>
      </c>
      <c r="D617" s="3" t="s">
        <v>52</v>
      </c>
      <c r="E617" s="2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285.59999999999991</v>
      </c>
      <c r="M617" s="4">
        <v>45627</v>
      </c>
      <c r="N617" s="5">
        <v>12</v>
      </c>
      <c r="O617" s="3" t="s">
        <v>30</v>
      </c>
      <c r="P617" s="6" t="s">
        <v>24</v>
      </c>
      <c r="Q617" s="14">
        <f t="shared" si="27"/>
        <v>45627</v>
      </c>
      <c r="R617" s="15">
        <f t="shared" si="28"/>
        <v>0.1694352159468438</v>
      </c>
      <c r="S617" s="16">
        <f t="shared" si="29"/>
        <v>0.13999999999999999</v>
      </c>
    </row>
    <row r="618" spans="1:19">
      <c r="A618" s="1" t="s">
        <v>19</v>
      </c>
      <c r="B618" s="2" t="s">
        <v>27</v>
      </c>
      <c r="C618" s="3" t="s">
        <v>31</v>
      </c>
      <c r="D618" s="3" t="s">
        <v>52</v>
      </c>
      <c r="E618" s="2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1763.8600000000001</v>
      </c>
      <c r="K618" s="3">
        <v>1465</v>
      </c>
      <c r="L618" s="3">
        <v>298.86000000000013</v>
      </c>
      <c r="M618" s="4">
        <v>45323</v>
      </c>
      <c r="N618" s="5">
        <v>2</v>
      </c>
      <c r="O618" s="3" t="s">
        <v>43</v>
      </c>
      <c r="P618" s="6" t="s">
        <v>24</v>
      </c>
      <c r="Q618" s="14">
        <f t="shared" si="27"/>
        <v>45323</v>
      </c>
      <c r="R618" s="15">
        <f t="shared" si="28"/>
        <v>0.16943521594684391</v>
      </c>
      <c r="S618" s="16">
        <f t="shared" si="29"/>
        <v>0.13999999999999999</v>
      </c>
    </row>
    <row r="619" spans="1:19">
      <c r="A619" s="1" t="s">
        <v>19</v>
      </c>
      <c r="B619" s="2" t="s">
        <v>41</v>
      </c>
      <c r="C619" s="3" t="s">
        <v>31</v>
      </c>
      <c r="D619" s="3" t="s">
        <v>52</v>
      </c>
      <c r="E619" s="2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3055.9199999999983</v>
      </c>
      <c r="M619" s="4">
        <v>45200</v>
      </c>
      <c r="N619" s="5">
        <v>10</v>
      </c>
      <c r="O619" s="3" t="s">
        <v>39</v>
      </c>
      <c r="P619" s="6" t="s">
        <v>40</v>
      </c>
      <c r="Q619" s="14">
        <f t="shared" si="27"/>
        <v>45200</v>
      </c>
      <c r="R619" s="15">
        <f t="shared" si="28"/>
        <v>0.16943521594684377</v>
      </c>
      <c r="S619" s="16">
        <f t="shared" si="29"/>
        <v>0.13999999999999999</v>
      </c>
    </row>
    <row r="620" spans="1:19">
      <c r="A620" s="1" t="s">
        <v>26</v>
      </c>
      <c r="B620" s="2" t="s">
        <v>25</v>
      </c>
      <c r="C620" s="3" t="s">
        <v>42</v>
      </c>
      <c r="D620" s="3" t="s">
        <v>52</v>
      </c>
      <c r="E620" s="2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806.19999999999982</v>
      </c>
      <c r="M620" s="4">
        <v>45323</v>
      </c>
      <c r="N620" s="5">
        <v>2</v>
      </c>
      <c r="O620" s="3" t="s">
        <v>43</v>
      </c>
      <c r="P620" s="6" t="s">
        <v>24</v>
      </c>
      <c r="Q620" s="14">
        <f t="shared" si="27"/>
        <v>45323</v>
      </c>
      <c r="R620" s="15">
        <f t="shared" si="28"/>
        <v>0.22480620155038755</v>
      </c>
      <c r="S620" s="16">
        <f t="shared" si="29"/>
        <v>0.13999999999999999</v>
      </c>
    </row>
    <row r="621" spans="1:19">
      <c r="A621" s="1" t="s">
        <v>19</v>
      </c>
      <c r="B621" s="2" t="s">
        <v>20</v>
      </c>
      <c r="C621" s="3" t="s">
        <v>42</v>
      </c>
      <c r="D621" s="3" t="s">
        <v>52</v>
      </c>
      <c r="E621" s="2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4">
        <v>45352</v>
      </c>
      <c r="N621" s="5">
        <v>3</v>
      </c>
      <c r="O621" s="3" t="s">
        <v>32</v>
      </c>
      <c r="P621" s="6" t="s">
        <v>24</v>
      </c>
      <c r="Q621" s="14">
        <f t="shared" si="27"/>
        <v>45352</v>
      </c>
      <c r="R621" s="15">
        <f t="shared" si="28"/>
        <v>0.41860465116279066</v>
      </c>
      <c r="S621" s="16">
        <f t="shared" si="29"/>
        <v>0.13999999999999999</v>
      </c>
    </row>
    <row r="622" spans="1:19">
      <c r="A622" s="1" t="s">
        <v>26</v>
      </c>
      <c r="B622" s="2" t="s">
        <v>41</v>
      </c>
      <c r="C622" s="3" t="s">
        <v>42</v>
      </c>
      <c r="D622" s="3" t="s">
        <v>52</v>
      </c>
      <c r="E622" s="2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5124.2999999999993</v>
      </c>
      <c r="M622" s="4">
        <v>45536</v>
      </c>
      <c r="N622" s="5">
        <v>9</v>
      </c>
      <c r="O622" s="3" t="s">
        <v>38</v>
      </c>
      <c r="P622" s="6" t="s">
        <v>24</v>
      </c>
      <c r="Q622" s="14">
        <f t="shared" si="27"/>
        <v>45536</v>
      </c>
      <c r="R622" s="15">
        <f t="shared" si="28"/>
        <v>0.22480620155038758</v>
      </c>
      <c r="S622" s="16">
        <f t="shared" si="29"/>
        <v>0.13999999999999999</v>
      </c>
    </row>
    <row r="623" spans="1:19">
      <c r="A623" s="1" t="s">
        <v>33</v>
      </c>
      <c r="B623" s="2" t="s">
        <v>27</v>
      </c>
      <c r="C623" s="3" t="s">
        <v>42</v>
      </c>
      <c r="D623" s="3" t="s">
        <v>52</v>
      </c>
      <c r="E623" s="2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4">
        <v>45566</v>
      </c>
      <c r="N623" s="5">
        <v>10</v>
      </c>
      <c r="O623" s="3" t="s">
        <v>39</v>
      </c>
      <c r="P623" s="6" t="s">
        <v>24</v>
      </c>
      <c r="Q623" s="14">
        <f t="shared" si="27"/>
        <v>45566</v>
      </c>
      <c r="R623" s="15">
        <f t="shared" si="28"/>
        <v>0.70930232558139539</v>
      </c>
      <c r="S623" s="16">
        <f t="shared" si="29"/>
        <v>0.13999999999999999</v>
      </c>
    </row>
    <row r="624" spans="1:19">
      <c r="A624" s="1" t="s">
        <v>19</v>
      </c>
      <c r="B624" s="2" t="s">
        <v>25</v>
      </c>
      <c r="C624" s="3" t="s">
        <v>46</v>
      </c>
      <c r="D624" s="3" t="s">
        <v>52</v>
      </c>
      <c r="E624" s="2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285.59999999999991</v>
      </c>
      <c r="M624" s="4">
        <v>45627</v>
      </c>
      <c r="N624" s="5">
        <v>12</v>
      </c>
      <c r="O624" s="3" t="s">
        <v>30</v>
      </c>
      <c r="P624" s="6" t="s">
        <v>24</v>
      </c>
      <c r="Q624" s="14">
        <f t="shared" si="27"/>
        <v>45627</v>
      </c>
      <c r="R624" s="15">
        <f t="shared" si="28"/>
        <v>0.1694352159468438</v>
      </c>
      <c r="S624" s="16">
        <f t="shared" si="29"/>
        <v>0.13999999999999999</v>
      </c>
    </row>
    <row r="625" spans="1:19">
      <c r="A625" s="1" t="s">
        <v>33</v>
      </c>
      <c r="B625" s="2" t="s">
        <v>27</v>
      </c>
      <c r="C625" s="3" t="s">
        <v>48</v>
      </c>
      <c r="D625" s="3" t="s">
        <v>52</v>
      </c>
      <c r="E625" s="2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4">
        <v>45566</v>
      </c>
      <c r="N625" s="5">
        <v>10</v>
      </c>
      <c r="O625" s="3" t="s">
        <v>39</v>
      </c>
      <c r="P625" s="6" t="s">
        <v>24</v>
      </c>
      <c r="Q625" s="14">
        <f t="shared" si="27"/>
        <v>45566</v>
      </c>
      <c r="R625" s="15">
        <f t="shared" si="28"/>
        <v>0.70930232558139539</v>
      </c>
      <c r="S625" s="16">
        <f t="shared" si="29"/>
        <v>0.13999999999999999</v>
      </c>
    </row>
    <row r="626" spans="1:19">
      <c r="A626" s="1" t="s">
        <v>33</v>
      </c>
      <c r="B626" s="2" t="s">
        <v>41</v>
      </c>
      <c r="C626" s="3" t="s">
        <v>48</v>
      </c>
      <c r="D626" s="3" t="s">
        <v>52</v>
      </c>
      <c r="E626" s="2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4">
        <v>45261</v>
      </c>
      <c r="N626" s="5">
        <v>12</v>
      </c>
      <c r="O626" s="3" t="s">
        <v>30</v>
      </c>
      <c r="P626" s="6" t="s">
        <v>40</v>
      </c>
      <c r="Q626" s="14">
        <f t="shared" si="27"/>
        <v>45261</v>
      </c>
      <c r="R626" s="15">
        <f t="shared" si="28"/>
        <v>0.70930232558139539</v>
      </c>
      <c r="S626" s="16">
        <f t="shared" si="29"/>
        <v>0.13999999999999999</v>
      </c>
    </row>
    <row r="627" spans="1:19">
      <c r="A627" s="1" t="s">
        <v>36</v>
      </c>
      <c r="B627" s="2" t="s">
        <v>29</v>
      </c>
      <c r="C627" s="3" t="s">
        <v>21</v>
      </c>
      <c r="D627" s="3" t="s">
        <v>52</v>
      </c>
      <c r="E627" s="2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4">
        <v>45474</v>
      </c>
      <c r="N627" s="5">
        <v>7</v>
      </c>
      <c r="O627" s="3" t="s">
        <v>35</v>
      </c>
      <c r="P627" s="6" t="s">
        <v>24</v>
      </c>
      <c r="Q627" s="14">
        <f t="shared" si="27"/>
        <v>45474</v>
      </c>
      <c r="R627" s="15">
        <f t="shared" si="28"/>
        <v>3.1007751937984496E-2</v>
      </c>
      <c r="S627" s="16">
        <f t="shared" si="29"/>
        <v>0.14000000000000001</v>
      </c>
    </row>
    <row r="628" spans="1:19">
      <c r="A628" s="1" t="s">
        <v>34</v>
      </c>
      <c r="B628" s="2" t="s">
        <v>27</v>
      </c>
      <c r="C628" s="3" t="s">
        <v>21</v>
      </c>
      <c r="D628" s="3" t="s">
        <v>52</v>
      </c>
      <c r="E628" s="2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4">
        <v>45170</v>
      </c>
      <c r="N628" s="5">
        <v>9</v>
      </c>
      <c r="O628" s="3" t="s">
        <v>38</v>
      </c>
      <c r="P628" s="6" t="s">
        <v>40</v>
      </c>
      <c r="Q628" s="14">
        <f t="shared" si="27"/>
        <v>45170</v>
      </c>
      <c r="R628" s="15">
        <f t="shared" si="28"/>
        <v>-0.11627906976744186</v>
      </c>
      <c r="S628" s="16">
        <f t="shared" si="29"/>
        <v>0.14000000000000001</v>
      </c>
    </row>
    <row r="629" spans="1:19">
      <c r="A629" s="1" t="s">
        <v>36</v>
      </c>
      <c r="B629" s="2" t="s">
        <v>20</v>
      </c>
      <c r="C629" s="3" t="s">
        <v>21</v>
      </c>
      <c r="D629" s="3" t="s">
        <v>52</v>
      </c>
      <c r="E629" s="2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4">
        <v>45566</v>
      </c>
      <c r="N629" s="5">
        <v>10</v>
      </c>
      <c r="O629" s="3" t="s">
        <v>39</v>
      </c>
      <c r="P629" s="6" t="s">
        <v>24</v>
      </c>
      <c r="Q629" s="14">
        <f t="shared" si="27"/>
        <v>45566</v>
      </c>
      <c r="R629" s="15">
        <f t="shared" si="28"/>
        <v>3.1007751937984496E-2</v>
      </c>
      <c r="S629" s="16">
        <f t="shared" si="29"/>
        <v>0.14000000000000001</v>
      </c>
    </row>
    <row r="630" spans="1:19">
      <c r="A630" s="1" t="s">
        <v>36</v>
      </c>
      <c r="B630" s="2" t="s">
        <v>41</v>
      </c>
      <c r="C630" s="3" t="s">
        <v>21</v>
      </c>
      <c r="D630" s="3" t="s">
        <v>52</v>
      </c>
      <c r="E630" s="2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4">
        <v>45566</v>
      </c>
      <c r="N630" s="5">
        <v>10</v>
      </c>
      <c r="O630" s="3" t="s">
        <v>39</v>
      </c>
      <c r="P630" s="6" t="s">
        <v>24</v>
      </c>
      <c r="Q630" s="14">
        <f t="shared" si="27"/>
        <v>45566</v>
      </c>
      <c r="R630" s="15">
        <f t="shared" si="28"/>
        <v>3.1007751937984496E-2</v>
      </c>
      <c r="S630" s="16">
        <f t="shared" si="29"/>
        <v>0.14000000000000001</v>
      </c>
    </row>
    <row r="631" spans="1:19">
      <c r="A631" s="1" t="s">
        <v>26</v>
      </c>
      <c r="B631" s="2" t="s">
        <v>25</v>
      </c>
      <c r="C631" s="3" t="s">
        <v>21</v>
      </c>
      <c r="D631" s="3" t="s">
        <v>52</v>
      </c>
      <c r="E631" s="2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4387.7000000000007</v>
      </c>
      <c r="M631" s="4">
        <v>45597</v>
      </c>
      <c r="N631" s="5">
        <v>11</v>
      </c>
      <c r="O631" s="3" t="s">
        <v>44</v>
      </c>
      <c r="P631" s="6" t="s">
        <v>24</v>
      </c>
      <c r="Q631" s="14">
        <f t="shared" si="27"/>
        <v>45597</v>
      </c>
      <c r="R631" s="15">
        <f t="shared" si="28"/>
        <v>0.22480620155038764</v>
      </c>
      <c r="S631" s="16">
        <f t="shared" si="29"/>
        <v>0.14000000000000001</v>
      </c>
    </row>
    <row r="632" spans="1:19">
      <c r="A632" s="1" t="s">
        <v>26</v>
      </c>
      <c r="B632" s="2" t="s">
        <v>20</v>
      </c>
      <c r="C632" s="3" t="s">
        <v>21</v>
      </c>
      <c r="D632" s="3" t="s">
        <v>52</v>
      </c>
      <c r="E632" s="2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4">
        <v>45627</v>
      </c>
      <c r="N632" s="5">
        <v>12</v>
      </c>
      <c r="O632" s="3" t="s">
        <v>30</v>
      </c>
      <c r="P632" s="6" t="s">
        <v>24</v>
      </c>
      <c r="Q632" s="14">
        <f t="shared" si="27"/>
        <v>45627</v>
      </c>
      <c r="R632" s="15">
        <f t="shared" si="28"/>
        <v>0.22480620155038761</v>
      </c>
      <c r="S632" s="16">
        <f t="shared" si="29"/>
        <v>0.14000000000000001</v>
      </c>
    </row>
    <row r="633" spans="1:19">
      <c r="A633" s="1" t="s">
        <v>34</v>
      </c>
      <c r="B633" s="2" t="s">
        <v>29</v>
      </c>
      <c r="C633" s="3" t="s">
        <v>21</v>
      </c>
      <c r="D633" s="3" t="s">
        <v>52</v>
      </c>
      <c r="E633" s="2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4">
        <v>45261</v>
      </c>
      <c r="N633" s="5">
        <v>12</v>
      </c>
      <c r="O633" s="3" t="s">
        <v>30</v>
      </c>
      <c r="P633" s="6" t="s">
        <v>40</v>
      </c>
      <c r="Q633" s="14">
        <f t="shared" si="27"/>
        <v>45261</v>
      </c>
      <c r="R633" s="15">
        <f t="shared" si="28"/>
        <v>-0.11627906976744186</v>
      </c>
      <c r="S633" s="16">
        <f t="shared" si="29"/>
        <v>0.14000000000000001</v>
      </c>
    </row>
    <row r="634" spans="1:19">
      <c r="A634" s="1" t="s">
        <v>19</v>
      </c>
      <c r="B634" s="2" t="s">
        <v>20</v>
      </c>
      <c r="C634" s="3" t="s">
        <v>31</v>
      </c>
      <c r="D634" s="3" t="s">
        <v>52</v>
      </c>
      <c r="E634" s="2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4">
        <v>45292</v>
      </c>
      <c r="N634" s="5">
        <v>1</v>
      </c>
      <c r="O634" s="3" t="s">
        <v>23</v>
      </c>
      <c r="P634" s="6" t="s">
        <v>24</v>
      </c>
      <c r="Q634" s="14">
        <f t="shared" si="27"/>
        <v>45292</v>
      </c>
      <c r="R634" s="15">
        <f t="shared" si="28"/>
        <v>0.13621262458471761</v>
      </c>
      <c r="S634" s="16">
        <f t="shared" si="29"/>
        <v>0.14000000000000001</v>
      </c>
    </row>
    <row r="635" spans="1:19">
      <c r="A635" s="1" t="s">
        <v>19</v>
      </c>
      <c r="B635" s="2" t="s">
        <v>25</v>
      </c>
      <c r="C635" s="3" t="s">
        <v>31</v>
      </c>
      <c r="D635" s="3" t="s">
        <v>52</v>
      </c>
      <c r="E635" s="2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4">
        <v>45383</v>
      </c>
      <c r="N635" s="5">
        <v>4</v>
      </c>
      <c r="O635" s="3" t="s">
        <v>47</v>
      </c>
      <c r="P635" s="6" t="s">
        <v>24</v>
      </c>
      <c r="Q635" s="14">
        <f t="shared" si="27"/>
        <v>45383</v>
      </c>
      <c r="R635" s="15">
        <f t="shared" si="28"/>
        <v>0.13621262458471761</v>
      </c>
      <c r="S635" s="16">
        <f t="shared" si="29"/>
        <v>0.14000000000000001</v>
      </c>
    </row>
    <row r="636" spans="1:19">
      <c r="A636" s="1" t="s">
        <v>19</v>
      </c>
      <c r="B636" s="2" t="s">
        <v>20</v>
      </c>
      <c r="C636" s="3" t="s">
        <v>31</v>
      </c>
      <c r="D636" s="3" t="s">
        <v>52</v>
      </c>
      <c r="E636" s="2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4">
        <v>45413</v>
      </c>
      <c r="N636" s="5">
        <v>5</v>
      </c>
      <c r="O636" s="3" t="s">
        <v>50</v>
      </c>
      <c r="P636" s="6" t="s">
        <v>24</v>
      </c>
      <c r="Q636" s="14">
        <f t="shared" si="27"/>
        <v>45413</v>
      </c>
      <c r="R636" s="15">
        <f t="shared" si="28"/>
        <v>0.13621262458471761</v>
      </c>
      <c r="S636" s="16">
        <f t="shared" si="29"/>
        <v>0.14000000000000001</v>
      </c>
    </row>
    <row r="637" spans="1:19">
      <c r="A637" s="1" t="s">
        <v>19</v>
      </c>
      <c r="B637" s="2" t="s">
        <v>20</v>
      </c>
      <c r="C637" s="3" t="s">
        <v>31</v>
      </c>
      <c r="D637" s="3" t="s">
        <v>52</v>
      </c>
      <c r="E637" s="2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395.76000000000022</v>
      </c>
      <c r="M637" s="4">
        <v>45536</v>
      </c>
      <c r="N637" s="5">
        <v>9</v>
      </c>
      <c r="O637" s="3" t="s">
        <v>38</v>
      </c>
      <c r="P637" s="6" t="s">
        <v>24</v>
      </c>
      <c r="Q637" s="14">
        <f t="shared" si="27"/>
        <v>45536</v>
      </c>
      <c r="R637" s="15">
        <f t="shared" si="28"/>
        <v>0.16943521594684394</v>
      </c>
      <c r="S637" s="16">
        <f t="shared" si="29"/>
        <v>0.14000000000000001</v>
      </c>
    </row>
    <row r="638" spans="1:19">
      <c r="A638" s="1" t="s">
        <v>19</v>
      </c>
      <c r="B638" s="2" t="s">
        <v>29</v>
      </c>
      <c r="C638" s="3" t="s">
        <v>31</v>
      </c>
      <c r="D638" s="3" t="s">
        <v>52</v>
      </c>
      <c r="E638" s="2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1761.5400000000009</v>
      </c>
      <c r="M638" s="4">
        <v>45200</v>
      </c>
      <c r="N638" s="5">
        <v>10</v>
      </c>
      <c r="O638" s="3" t="s">
        <v>39</v>
      </c>
      <c r="P638" s="6" t="s">
        <v>40</v>
      </c>
      <c r="Q638" s="14">
        <f t="shared" si="27"/>
        <v>45200</v>
      </c>
      <c r="R638" s="15">
        <f t="shared" si="28"/>
        <v>0.16943521594684394</v>
      </c>
      <c r="S638" s="16">
        <f t="shared" si="29"/>
        <v>0.14000000000000001</v>
      </c>
    </row>
    <row r="639" spans="1:19">
      <c r="A639" s="1" t="s">
        <v>26</v>
      </c>
      <c r="B639" s="2" t="s">
        <v>20</v>
      </c>
      <c r="C639" s="3" t="s">
        <v>31</v>
      </c>
      <c r="D639" s="3" t="s">
        <v>52</v>
      </c>
      <c r="E639" s="2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4">
        <v>45627</v>
      </c>
      <c r="N639" s="5">
        <v>12</v>
      </c>
      <c r="O639" s="3" t="s">
        <v>30</v>
      </c>
      <c r="P639" s="6" t="s">
        <v>24</v>
      </c>
      <c r="Q639" s="14">
        <f t="shared" si="27"/>
        <v>45627</v>
      </c>
      <c r="R639" s="15">
        <f t="shared" si="28"/>
        <v>0.22480620155038761</v>
      </c>
      <c r="S639" s="16">
        <f t="shared" si="29"/>
        <v>0.14000000000000001</v>
      </c>
    </row>
    <row r="640" spans="1:19">
      <c r="A640" s="1" t="s">
        <v>19</v>
      </c>
      <c r="B640" s="2" t="s">
        <v>29</v>
      </c>
      <c r="C640" s="3" t="s">
        <v>42</v>
      </c>
      <c r="D640" s="3" t="s">
        <v>52</v>
      </c>
      <c r="E640" s="2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4">
        <v>45323</v>
      </c>
      <c r="N640" s="5">
        <v>2</v>
      </c>
      <c r="O640" s="3" t="s">
        <v>43</v>
      </c>
      <c r="P640" s="6" t="s">
        <v>24</v>
      </c>
      <c r="Q640" s="14">
        <f t="shared" si="27"/>
        <v>45323</v>
      </c>
      <c r="R640" s="15">
        <f t="shared" si="28"/>
        <v>0.41860465116279072</v>
      </c>
      <c r="S640" s="16">
        <f t="shared" si="29"/>
        <v>0.14000000000000001</v>
      </c>
    </row>
    <row r="641" spans="1:19">
      <c r="A641" s="1" t="s">
        <v>26</v>
      </c>
      <c r="B641" s="2" t="s">
        <v>20</v>
      </c>
      <c r="C641" s="3" t="s">
        <v>42</v>
      </c>
      <c r="D641" s="3" t="s">
        <v>52</v>
      </c>
      <c r="E641" s="2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4">
        <v>45170</v>
      </c>
      <c r="N641" s="5">
        <v>9</v>
      </c>
      <c r="O641" s="3" t="s">
        <v>38</v>
      </c>
      <c r="P641" s="6" t="s">
        <v>40</v>
      </c>
      <c r="Q641" s="14">
        <f t="shared" si="27"/>
        <v>45170</v>
      </c>
      <c r="R641" s="15">
        <f t="shared" si="28"/>
        <v>0.22480620155038761</v>
      </c>
      <c r="S641" s="16">
        <f t="shared" si="29"/>
        <v>0.14000000000000001</v>
      </c>
    </row>
    <row r="642" spans="1:19">
      <c r="A642" s="1" t="s">
        <v>26</v>
      </c>
      <c r="B642" s="2" t="s">
        <v>20</v>
      </c>
      <c r="C642" s="3" t="s">
        <v>42</v>
      </c>
      <c r="D642" s="3" t="s">
        <v>52</v>
      </c>
      <c r="E642" s="2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5054.7000000000007</v>
      </c>
      <c r="M642" s="4">
        <v>45200</v>
      </c>
      <c r="N642" s="5">
        <v>10</v>
      </c>
      <c r="O642" s="3" t="s">
        <v>39</v>
      </c>
      <c r="P642" s="6" t="s">
        <v>40</v>
      </c>
      <c r="Q642" s="14">
        <f t="shared" ref="Q642:Q701" si="30">DATE($P642,$N642,1)</f>
        <v>45200</v>
      </c>
      <c r="R642" s="15">
        <f t="shared" ref="R642:R701" si="31">IFERROR($L642/$J642,0)</f>
        <v>0.22480620155038764</v>
      </c>
      <c r="S642" s="16">
        <f t="shared" ref="S642:S701" si="32">IFERROR($I642/$H642,0)</f>
        <v>0.14000000000000001</v>
      </c>
    </row>
    <row r="643" spans="1:19">
      <c r="A643" s="1" t="s">
        <v>33</v>
      </c>
      <c r="B643" s="2" t="s">
        <v>41</v>
      </c>
      <c r="C643" s="3" t="s">
        <v>42</v>
      </c>
      <c r="D643" s="3" t="s">
        <v>52</v>
      </c>
      <c r="E643" s="2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4">
        <v>45566</v>
      </c>
      <c r="N643" s="5">
        <v>10</v>
      </c>
      <c r="O643" s="3" t="s">
        <v>39</v>
      </c>
      <c r="P643" s="6" t="s">
        <v>24</v>
      </c>
      <c r="Q643" s="14">
        <f t="shared" si="30"/>
        <v>45566</v>
      </c>
      <c r="R643" s="15">
        <f t="shared" si="31"/>
        <v>0.70930232558139539</v>
      </c>
      <c r="S643" s="16">
        <f t="shared" si="32"/>
        <v>0.14000000000000001</v>
      </c>
    </row>
    <row r="644" spans="1:19">
      <c r="A644" s="1" t="s">
        <v>19</v>
      </c>
      <c r="B644" s="2" t="s">
        <v>27</v>
      </c>
      <c r="C644" s="3" t="s">
        <v>42</v>
      </c>
      <c r="D644" s="3" t="s">
        <v>52</v>
      </c>
      <c r="E644" s="2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10420.619999999999</v>
      </c>
      <c r="K644" s="3">
        <v>8655</v>
      </c>
      <c r="L644" s="3">
        <v>1765.619999999999</v>
      </c>
      <c r="M644" s="4">
        <v>45566</v>
      </c>
      <c r="N644" s="5">
        <v>10</v>
      </c>
      <c r="O644" s="3" t="s">
        <v>39</v>
      </c>
      <c r="P644" s="6" t="s">
        <v>24</v>
      </c>
      <c r="Q644" s="14">
        <f t="shared" si="30"/>
        <v>45566</v>
      </c>
      <c r="R644" s="15">
        <f t="shared" si="31"/>
        <v>0.16943521594684377</v>
      </c>
      <c r="S644" s="16">
        <f t="shared" si="32"/>
        <v>0.14000000000000001</v>
      </c>
    </row>
    <row r="645" spans="1:19">
      <c r="A645" s="1" t="s">
        <v>19</v>
      </c>
      <c r="B645" s="2" t="s">
        <v>20</v>
      </c>
      <c r="C645" s="3" t="s">
        <v>42</v>
      </c>
      <c r="D645" s="3" t="s">
        <v>52</v>
      </c>
      <c r="E645" s="2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4">
        <v>45597</v>
      </c>
      <c r="N645" s="5">
        <v>11</v>
      </c>
      <c r="O645" s="3" t="s">
        <v>44</v>
      </c>
      <c r="P645" s="6" t="s">
        <v>24</v>
      </c>
      <c r="Q645" s="14">
        <f t="shared" si="30"/>
        <v>45597</v>
      </c>
      <c r="R645" s="15">
        <f t="shared" si="31"/>
        <v>0.13621262458471761</v>
      </c>
      <c r="S645" s="16">
        <f t="shared" si="32"/>
        <v>0.14000000000000001</v>
      </c>
    </row>
    <row r="646" spans="1:19">
      <c r="A646" s="1" t="s">
        <v>33</v>
      </c>
      <c r="B646" s="2" t="s">
        <v>20</v>
      </c>
      <c r="C646" s="3" t="s">
        <v>42</v>
      </c>
      <c r="D646" s="3" t="s">
        <v>52</v>
      </c>
      <c r="E646" s="2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4">
        <v>45231</v>
      </c>
      <c r="N646" s="5">
        <v>11</v>
      </c>
      <c r="O646" s="3" t="s">
        <v>44</v>
      </c>
      <c r="P646" s="6" t="s">
        <v>40</v>
      </c>
      <c r="Q646" s="14">
        <f t="shared" si="30"/>
        <v>45231</v>
      </c>
      <c r="R646" s="15">
        <f t="shared" si="31"/>
        <v>0.70930232558139539</v>
      </c>
      <c r="S646" s="16">
        <f t="shared" si="32"/>
        <v>0.14000000000000001</v>
      </c>
    </row>
    <row r="647" spans="1:19">
      <c r="A647" s="1" t="s">
        <v>19</v>
      </c>
      <c r="B647" s="2" t="s">
        <v>41</v>
      </c>
      <c r="C647" s="3" t="s">
        <v>42</v>
      </c>
      <c r="D647" s="3" t="s">
        <v>52</v>
      </c>
      <c r="E647" s="2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4">
        <v>45597</v>
      </c>
      <c r="N647" s="5">
        <v>11</v>
      </c>
      <c r="O647" s="3" t="s">
        <v>44</v>
      </c>
      <c r="P647" s="6" t="s">
        <v>24</v>
      </c>
      <c r="Q647" s="14">
        <f t="shared" si="30"/>
        <v>45597</v>
      </c>
      <c r="R647" s="15">
        <f t="shared" si="31"/>
        <v>0.13621262458471761</v>
      </c>
      <c r="S647" s="16">
        <f t="shared" si="32"/>
        <v>0.14000000000000001</v>
      </c>
    </row>
    <row r="648" spans="1:19">
      <c r="A648" s="1" t="s">
        <v>19</v>
      </c>
      <c r="B648" s="2" t="s">
        <v>27</v>
      </c>
      <c r="C648" s="3" t="s">
        <v>42</v>
      </c>
      <c r="D648" s="3" t="s">
        <v>52</v>
      </c>
      <c r="E648" s="2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4">
        <v>45231</v>
      </c>
      <c r="N648" s="5">
        <v>11</v>
      </c>
      <c r="O648" s="3" t="s">
        <v>44</v>
      </c>
      <c r="P648" s="6" t="s">
        <v>40</v>
      </c>
      <c r="Q648" s="14">
        <f t="shared" si="30"/>
        <v>45231</v>
      </c>
      <c r="R648" s="15">
        <f t="shared" si="31"/>
        <v>0.13621262458471761</v>
      </c>
      <c r="S648" s="16">
        <f t="shared" si="32"/>
        <v>0.14000000000000001</v>
      </c>
    </row>
    <row r="649" spans="1:19">
      <c r="A649" s="1" t="s">
        <v>34</v>
      </c>
      <c r="B649" s="2" t="s">
        <v>29</v>
      </c>
      <c r="C649" s="3" t="s">
        <v>45</v>
      </c>
      <c r="D649" s="3" t="s">
        <v>52</v>
      </c>
      <c r="E649" s="2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4">
        <v>45323</v>
      </c>
      <c r="N649" s="5">
        <v>2</v>
      </c>
      <c r="O649" s="3" t="s">
        <v>43</v>
      </c>
      <c r="P649" s="6" t="s">
        <v>24</v>
      </c>
      <c r="Q649" s="14">
        <f t="shared" si="30"/>
        <v>45323</v>
      </c>
      <c r="R649" s="15">
        <f t="shared" si="31"/>
        <v>-0.11627906976744186</v>
      </c>
      <c r="S649" s="16">
        <f t="shared" si="32"/>
        <v>0.14000000000000001</v>
      </c>
    </row>
    <row r="650" spans="1:19">
      <c r="A650" s="1" t="s">
        <v>19</v>
      </c>
      <c r="B650" s="2" t="s">
        <v>41</v>
      </c>
      <c r="C650" s="3" t="s">
        <v>45</v>
      </c>
      <c r="D650" s="3" t="s">
        <v>52</v>
      </c>
      <c r="E650" s="2">
        <v>606</v>
      </c>
      <c r="F650" s="3">
        <v>120</v>
      </c>
      <c r="G650" s="3">
        <v>20</v>
      </c>
      <c r="H650" s="3">
        <v>12120</v>
      </c>
      <c r="I650" s="3">
        <v>1696.8000000000002</v>
      </c>
      <c r="J650" s="3">
        <v>10423.200000000001</v>
      </c>
      <c r="K650" s="3">
        <v>6060</v>
      </c>
      <c r="L650" s="3">
        <v>4363.2000000000007</v>
      </c>
      <c r="M650" s="4">
        <v>45383</v>
      </c>
      <c r="N650" s="5">
        <v>4</v>
      </c>
      <c r="O650" s="3" t="s">
        <v>47</v>
      </c>
      <c r="P650" s="6" t="s">
        <v>24</v>
      </c>
      <c r="Q650" s="14">
        <f t="shared" si="30"/>
        <v>45383</v>
      </c>
      <c r="R650" s="15">
        <f t="shared" si="31"/>
        <v>0.41860465116279072</v>
      </c>
      <c r="S650" s="16">
        <f t="shared" si="32"/>
        <v>0.14000000000000001</v>
      </c>
    </row>
    <row r="651" spans="1:19">
      <c r="A651" s="1" t="s">
        <v>36</v>
      </c>
      <c r="B651" s="2" t="s">
        <v>41</v>
      </c>
      <c r="C651" s="3" t="s">
        <v>45</v>
      </c>
      <c r="D651" s="3" t="s">
        <v>52</v>
      </c>
      <c r="E651" s="2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4">
        <v>45474</v>
      </c>
      <c r="N651" s="5">
        <v>7</v>
      </c>
      <c r="O651" s="3" t="s">
        <v>35</v>
      </c>
      <c r="P651" s="6" t="s">
        <v>24</v>
      </c>
      <c r="Q651" s="14">
        <f t="shared" si="30"/>
        <v>45474</v>
      </c>
      <c r="R651" s="15">
        <f t="shared" si="31"/>
        <v>3.1007751937984496E-2</v>
      </c>
      <c r="S651" s="16">
        <f t="shared" si="32"/>
        <v>0.14000000000000001</v>
      </c>
    </row>
    <row r="652" spans="1:19">
      <c r="A652" s="1" t="s">
        <v>36</v>
      </c>
      <c r="B652" s="2" t="s">
        <v>20</v>
      </c>
      <c r="C652" s="3" t="s">
        <v>45</v>
      </c>
      <c r="D652" s="3" t="s">
        <v>52</v>
      </c>
      <c r="E652" s="2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4">
        <v>45200</v>
      </c>
      <c r="N652" s="5">
        <v>10</v>
      </c>
      <c r="O652" s="3" t="s">
        <v>39</v>
      </c>
      <c r="P652" s="6" t="s">
        <v>40</v>
      </c>
      <c r="Q652" s="14">
        <f t="shared" si="30"/>
        <v>45200</v>
      </c>
      <c r="R652" s="15">
        <f t="shared" si="31"/>
        <v>3.1007751937984496E-2</v>
      </c>
      <c r="S652" s="16">
        <f t="shared" si="32"/>
        <v>0.14000000000000001</v>
      </c>
    </row>
    <row r="653" spans="1:19">
      <c r="A653" s="1" t="s">
        <v>36</v>
      </c>
      <c r="B653" s="2" t="s">
        <v>25</v>
      </c>
      <c r="C653" s="3" t="s">
        <v>45</v>
      </c>
      <c r="D653" s="3" t="s">
        <v>52</v>
      </c>
      <c r="E653" s="2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4">
        <v>45231</v>
      </c>
      <c r="N653" s="5">
        <v>11</v>
      </c>
      <c r="O653" s="3" t="s">
        <v>44</v>
      </c>
      <c r="P653" s="6" t="s">
        <v>40</v>
      </c>
      <c r="Q653" s="14">
        <f t="shared" si="30"/>
        <v>45231</v>
      </c>
      <c r="R653" s="15">
        <f t="shared" si="31"/>
        <v>3.1007751937984496E-2</v>
      </c>
      <c r="S653" s="16">
        <f t="shared" si="32"/>
        <v>0.14000000000000001</v>
      </c>
    </row>
    <row r="654" spans="1:19">
      <c r="A654" s="1" t="s">
        <v>19</v>
      </c>
      <c r="B654" s="2" t="s">
        <v>29</v>
      </c>
      <c r="C654" s="3" t="s">
        <v>46</v>
      </c>
      <c r="D654" s="3" t="s">
        <v>52</v>
      </c>
      <c r="E654" s="2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2961.0600000000013</v>
      </c>
      <c r="M654" s="4">
        <v>45352</v>
      </c>
      <c r="N654" s="5">
        <v>3</v>
      </c>
      <c r="O654" s="3" t="s">
        <v>32</v>
      </c>
      <c r="P654" s="6" t="s">
        <v>24</v>
      </c>
      <c r="Q654" s="14">
        <f t="shared" si="30"/>
        <v>45352</v>
      </c>
      <c r="R654" s="15">
        <f t="shared" si="31"/>
        <v>0.16943521594684391</v>
      </c>
      <c r="S654" s="16">
        <f t="shared" si="32"/>
        <v>0.14000000000000001</v>
      </c>
    </row>
    <row r="655" spans="1:19">
      <c r="A655" s="1" t="s">
        <v>36</v>
      </c>
      <c r="B655" s="2" t="s">
        <v>41</v>
      </c>
      <c r="C655" s="3" t="s">
        <v>46</v>
      </c>
      <c r="D655" s="3" t="s">
        <v>52</v>
      </c>
      <c r="E655" s="2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4">
        <v>45505</v>
      </c>
      <c r="N655" s="5">
        <v>8</v>
      </c>
      <c r="O655" s="3" t="s">
        <v>37</v>
      </c>
      <c r="P655" s="6" t="s">
        <v>24</v>
      </c>
      <c r="Q655" s="14">
        <f t="shared" si="30"/>
        <v>45505</v>
      </c>
      <c r="R655" s="15">
        <f t="shared" si="31"/>
        <v>3.1007751937984496E-2</v>
      </c>
      <c r="S655" s="16">
        <f t="shared" si="32"/>
        <v>0.14000000000000001</v>
      </c>
    </row>
    <row r="656" spans="1:19">
      <c r="A656" s="1" t="s">
        <v>36</v>
      </c>
      <c r="B656" s="2" t="s">
        <v>20</v>
      </c>
      <c r="C656" s="3" t="s">
        <v>46</v>
      </c>
      <c r="D656" s="3" t="s">
        <v>52</v>
      </c>
      <c r="E656" s="2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4">
        <v>45200</v>
      </c>
      <c r="N656" s="5">
        <v>10</v>
      </c>
      <c r="O656" s="3" t="s">
        <v>39</v>
      </c>
      <c r="P656" s="6" t="s">
        <v>40</v>
      </c>
      <c r="Q656" s="14">
        <f t="shared" si="30"/>
        <v>45200</v>
      </c>
      <c r="R656" s="15">
        <f t="shared" si="31"/>
        <v>3.1007751937984496E-2</v>
      </c>
      <c r="S656" s="16">
        <f t="shared" si="32"/>
        <v>0.14000000000000001</v>
      </c>
    </row>
    <row r="657" spans="1:19">
      <c r="A657" s="1" t="s">
        <v>36</v>
      </c>
      <c r="B657" s="2" t="s">
        <v>20</v>
      </c>
      <c r="C657" s="3" t="s">
        <v>46</v>
      </c>
      <c r="D657" s="3" t="s">
        <v>52</v>
      </c>
      <c r="E657" s="2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4">
        <v>45566</v>
      </c>
      <c r="N657" s="5">
        <v>10</v>
      </c>
      <c r="O657" s="3" t="s">
        <v>39</v>
      </c>
      <c r="P657" s="6" t="s">
        <v>24</v>
      </c>
      <c r="Q657" s="14">
        <f t="shared" si="30"/>
        <v>45566</v>
      </c>
      <c r="R657" s="15">
        <f t="shared" si="31"/>
        <v>3.1007751937984496E-2</v>
      </c>
      <c r="S657" s="16">
        <f t="shared" si="32"/>
        <v>0.14000000000000001</v>
      </c>
    </row>
    <row r="658" spans="1:19">
      <c r="A658" s="1" t="s">
        <v>36</v>
      </c>
      <c r="B658" s="2" t="s">
        <v>41</v>
      </c>
      <c r="C658" s="3" t="s">
        <v>46</v>
      </c>
      <c r="D658" s="3" t="s">
        <v>52</v>
      </c>
      <c r="E658" s="2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4">
        <v>45566</v>
      </c>
      <c r="N658" s="5">
        <v>10</v>
      </c>
      <c r="O658" s="3" t="s">
        <v>39</v>
      </c>
      <c r="P658" s="6" t="s">
        <v>24</v>
      </c>
      <c r="Q658" s="14">
        <f t="shared" si="30"/>
        <v>45566</v>
      </c>
      <c r="R658" s="15">
        <f t="shared" si="31"/>
        <v>3.1007751937984496E-2</v>
      </c>
      <c r="S658" s="16">
        <f t="shared" si="32"/>
        <v>0.14000000000000001</v>
      </c>
    </row>
    <row r="659" spans="1:19">
      <c r="A659" s="1" t="s">
        <v>19</v>
      </c>
      <c r="B659" s="2" t="s">
        <v>27</v>
      </c>
      <c r="C659" s="3" t="s">
        <v>46</v>
      </c>
      <c r="D659" s="3" t="s">
        <v>52</v>
      </c>
      <c r="E659" s="2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4">
        <v>45261</v>
      </c>
      <c r="N659" s="5">
        <v>12</v>
      </c>
      <c r="O659" s="3" t="s">
        <v>30</v>
      </c>
      <c r="P659" s="6" t="s">
        <v>40</v>
      </c>
      <c r="Q659" s="14">
        <f t="shared" si="30"/>
        <v>45261</v>
      </c>
      <c r="R659" s="15">
        <f t="shared" si="31"/>
        <v>0.13621262458471761</v>
      </c>
      <c r="S659" s="16">
        <f t="shared" si="32"/>
        <v>0.14000000000000001</v>
      </c>
    </row>
    <row r="660" spans="1:19">
      <c r="A660" s="1" t="s">
        <v>36</v>
      </c>
      <c r="B660" s="2" t="s">
        <v>20</v>
      </c>
      <c r="C660" s="3" t="s">
        <v>48</v>
      </c>
      <c r="D660" s="3" t="s">
        <v>52</v>
      </c>
      <c r="E660" s="2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4">
        <v>45352</v>
      </c>
      <c r="N660" s="5">
        <v>3</v>
      </c>
      <c r="O660" s="3" t="s">
        <v>32</v>
      </c>
      <c r="P660" s="6" t="s">
        <v>24</v>
      </c>
      <c r="Q660" s="14">
        <f t="shared" si="30"/>
        <v>45352</v>
      </c>
      <c r="R660" s="15">
        <f t="shared" si="31"/>
        <v>3.1007751937984496E-2</v>
      </c>
      <c r="S660" s="16">
        <f t="shared" si="32"/>
        <v>0.14000000000000001</v>
      </c>
    </row>
    <row r="661" spans="1:19">
      <c r="A661" s="1" t="s">
        <v>34</v>
      </c>
      <c r="B661" s="2" t="s">
        <v>41</v>
      </c>
      <c r="C661" s="3" t="s">
        <v>48</v>
      </c>
      <c r="D661" s="3" t="s">
        <v>52</v>
      </c>
      <c r="E661" s="2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4">
        <v>45413</v>
      </c>
      <c r="N661" s="5">
        <v>5</v>
      </c>
      <c r="O661" s="3" t="s">
        <v>50</v>
      </c>
      <c r="P661" s="6" t="s">
        <v>24</v>
      </c>
      <c r="Q661" s="14">
        <f t="shared" si="30"/>
        <v>45413</v>
      </c>
      <c r="R661" s="15">
        <f t="shared" si="31"/>
        <v>-0.11627906976744186</v>
      </c>
      <c r="S661" s="16">
        <f t="shared" si="32"/>
        <v>0.14000000000000001</v>
      </c>
    </row>
    <row r="662" spans="1:19">
      <c r="A662" s="1" t="s">
        <v>33</v>
      </c>
      <c r="B662" s="2" t="s">
        <v>27</v>
      </c>
      <c r="C662" s="3" t="s">
        <v>48</v>
      </c>
      <c r="D662" s="3" t="s">
        <v>52</v>
      </c>
      <c r="E662" s="2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4">
        <v>45505</v>
      </c>
      <c r="N662" s="5">
        <v>8</v>
      </c>
      <c r="O662" s="3" t="s">
        <v>37</v>
      </c>
      <c r="P662" s="6" t="s">
        <v>24</v>
      </c>
      <c r="Q662" s="14">
        <f t="shared" si="30"/>
        <v>45505</v>
      </c>
      <c r="R662" s="15">
        <f t="shared" si="31"/>
        <v>0.70930232558139539</v>
      </c>
      <c r="S662" s="16">
        <f t="shared" si="32"/>
        <v>0.14000000000000001</v>
      </c>
    </row>
    <row r="663" spans="1:19">
      <c r="A663" s="1" t="s">
        <v>26</v>
      </c>
      <c r="B663" s="2" t="s">
        <v>20</v>
      </c>
      <c r="C663" s="3" t="s">
        <v>48</v>
      </c>
      <c r="D663" s="3" t="s">
        <v>52</v>
      </c>
      <c r="E663" s="2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5054.7000000000007</v>
      </c>
      <c r="M663" s="4">
        <v>45200</v>
      </c>
      <c r="N663" s="5">
        <v>10</v>
      </c>
      <c r="O663" s="3" t="s">
        <v>39</v>
      </c>
      <c r="P663" s="6" t="s">
        <v>40</v>
      </c>
      <c r="Q663" s="14">
        <f t="shared" si="30"/>
        <v>45200</v>
      </c>
      <c r="R663" s="15">
        <f t="shared" si="31"/>
        <v>0.22480620155038764</v>
      </c>
      <c r="S663" s="16">
        <f t="shared" si="32"/>
        <v>0.14000000000000001</v>
      </c>
    </row>
    <row r="664" spans="1:19">
      <c r="A664" s="1" t="s">
        <v>33</v>
      </c>
      <c r="B664" s="2" t="s">
        <v>41</v>
      </c>
      <c r="C664" s="3" t="s">
        <v>48</v>
      </c>
      <c r="D664" s="3" t="s">
        <v>52</v>
      </c>
      <c r="E664" s="2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4">
        <v>45566</v>
      </c>
      <c r="N664" s="5">
        <v>10</v>
      </c>
      <c r="O664" s="3" t="s">
        <v>39</v>
      </c>
      <c r="P664" s="6" t="s">
        <v>24</v>
      </c>
      <c r="Q664" s="14">
        <f t="shared" si="30"/>
        <v>45566</v>
      </c>
      <c r="R664" s="15">
        <f t="shared" si="31"/>
        <v>0.70930232558139539</v>
      </c>
      <c r="S664" s="16">
        <f t="shared" si="32"/>
        <v>0.14000000000000001</v>
      </c>
    </row>
    <row r="665" spans="1:19">
      <c r="A665" s="1" t="s">
        <v>19</v>
      </c>
      <c r="B665" s="2" t="s">
        <v>27</v>
      </c>
      <c r="C665" s="3" t="s">
        <v>48</v>
      </c>
      <c r="D665" s="3" t="s">
        <v>52</v>
      </c>
      <c r="E665" s="2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10420.619999999999</v>
      </c>
      <c r="K665" s="3">
        <v>8655</v>
      </c>
      <c r="L665" s="3">
        <v>1765.619999999999</v>
      </c>
      <c r="M665" s="4">
        <v>45566</v>
      </c>
      <c r="N665" s="5">
        <v>10</v>
      </c>
      <c r="O665" s="3" t="s">
        <v>39</v>
      </c>
      <c r="P665" s="6" t="s">
        <v>24</v>
      </c>
      <c r="Q665" s="14">
        <f t="shared" si="30"/>
        <v>45566</v>
      </c>
      <c r="R665" s="15">
        <f t="shared" si="31"/>
        <v>0.16943521594684377</v>
      </c>
      <c r="S665" s="16">
        <f t="shared" si="32"/>
        <v>0.14000000000000001</v>
      </c>
    </row>
    <row r="666" spans="1:19">
      <c r="A666" s="1" t="s">
        <v>19</v>
      </c>
      <c r="B666" s="2" t="s">
        <v>29</v>
      </c>
      <c r="C666" s="3" t="s">
        <v>48</v>
      </c>
      <c r="D666" s="3" t="s">
        <v>52</v>
      </c>
      <c r="E666" s="2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1761.5400000000009</v>
      </c>
      <c r="M666" s="4">
        <v>45200</v>
      </c>
      <c r="N666" s="5">
        <v>10</v>
      </c>
      <c r="O666" s="3" t="s">
        <v>39</v>
      </c>
      <c r="P666" s="6" t="s">
        <v>40</v>
      </c>
      <c r="Q666" s="14">
        <f t="shared" si="30"/>
        <v>45200</v>
      </c>
      <c r="R666" s="15">
        <f t="shared" si="31"/>
        <v>0.16943521594684394</v>
      </c>
      <c r="S666" s="16">
        <f t="shared" si="32"/>
        <v>0.14000000000000001</v>
      </c>
    </row>
    <row r="667" spans="1:19">
      <c r="A667" s="1" t="s">
        <v>26</v>
      </c>
      <c r="B667" s="2" t="s">
        <v>29</v>
      </c>
      <c r="C667" s="3" t="s">
        <v>48</v>
      </c>
      <c r="D667" s="3" t="s">
        <v>52</v>
      </c>
      <c r="E667" s="2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4">
        <v>45231</v>
      </c>
      <c r="N667" s="5">
        <v>11</v>
      </c>
      <c r="O667" s="3" t="s">
        <v>44</v>
      </c>
      <c r="P667" s="6" t="s">
        <v>40</v>
      </c>
      <c r="Q667" s="14">
        <f t="shared" si="30"/>
        <v>45231</v>
      </c>
      <c r="R667" s="15">
        <f t="shared" si="31"/>
        <v>0.22480620155038761</v>
      </c>
      <c r="S667" s="16">
        <f t="shared" si="32"/>
        <v>0.14000000000000001</v>
      </c>
    </row>
    <row r="668" spans="1:19">
      <c r="A668" s="1" t="s">
        <v>34</v>
      </c>
      <c r="B668" s="2" t="s">
        <v>27</v>
      </c>
      <c r="C668" s="3" t="s">
        <v>21</v>
      </c>
      <c r="D668" s="3" t="s">
        <v>52</v>
      </c>
      <c r="E668" s="2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4">
        <v>45505</v>
      </c>
      <c r="N668" s="5">
        <v>8</v>
      </c>
      <c r="O668" s="3" t="s">
        <v>37</v>
      </c>
      <c r="P668" s="6" t="s">
        <v>24</v>
      </c>
      <c r="Q668" s="14">
        <f t="shared" si="30"/>
        <v>45505</v>
      </c>
      <c r="R668" s="15">
        <f t="shared" si="31"/>
        <v>-0.12941176470588237</v>
      </c>
      <c r="S668" s="16">
        <f t="shared" si="32"/>
        <v>0.15</v>
      </c>
    </row>
    <row r="669" spans="1:19">
      <c r="A669" s="1" t="s">
        <v>34</v>
      </c>
      <c r="B669" s="2" t="s">
        <v>25</v>
      </c>
      <c r="C669" s="3" t="s">
        <v>21</v>
      </c>
      <c r="D669" s="3" t="s">
        <v>52</v>
      </c>
      <c r="E669" s="2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4">
        <v>45505</v>
      </c>
      <c r="N669" s="5">
        <v>8</v>
      </c>
      <c r="O669" s="3" t="s">
        <v>37</v>
      </c>
      <c r="P669" s="6" t="s">
        <v>24</v>
      </c>
      <c r="Q669" s="14">
        <f t="shared" si="30"/>
        <v>45505</v>
      </c>
      <c r="R669" s="15">
        <f t="shared" si="31"/>
        <v>-0.12941176470588237</v>
      </c>
      <c r="S669" s="16">
        <f t="shared" si="32"/>
        <v>0.15</v>
      </c>
    </row>
    <row r="670" spans="1:19">
      <c r="A670" s="1" t="s">
        <v>34</v>
      </c>
      <c r="B670" s="2" t="s">
        <v>25</v>
      </c>
      <c r="C670" s="3" t="s">
        <v>21</v>
      </c>
      <c r="D670" s="3" t="s">
        <v>52</v>
      </c>
      <c r="E670" s="2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4">
        <v>45566</v>
      </c>
      <c r="N670" s="5">
        <v>10</v>
      </c>
      <c r="O670" s="3" t="s">
        <v>39</v>
      </c>
      <c r="P670" s="6" t="s">
        <v>24</v>
      </c>
      <c r="Q670" s="14">
        <f t="shared" si="30"/>
        <v>45566</v>
      </c>
      <c r="R670" s="15">
        <f t="shared" si="31"/>
        <v>-0.12941176470588237</v>
      </c>
      <c r="S670" s="16">
        <f t="shared" si="32"/>
        <v>0.15</v>
      </c>
    </row>
    <row r="671" spans="1:19">
      <c r="A671" s="1" t="s">
        <v>36</v>
      </c>
      <c r="B671" s="2" t="s">
        <v>29</v>
      </c>
      <c r="C671" s="3" t="s">
        <v>31</v>
      </c>
      <c r="D671" s="3" t="s">
        <v>52</v>
      </c>
      <c r="E671" s="2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4">
        <v>45566</v>
      </c>
      <c r="N671" s="5">
        <v>10</v>
      </c>
      <c r="O671" s="3" t="s">
        <v>39</v>
      </c>
      <c r="P671" s="6" t="s">
        <v>24</v>
      </c>
      <c r="Q671" s="14">
        <f t="shared" si="30"/>
        <v>45566</v>
      </c>
      <c r="R671" s="15">
        <f t="shared" si="31"/>
        <v>1.9607843137254902E-2</v>
      </c>
      <c r="S671" s="16">
        <f t="shared" si="32"/>
        <v>0.15</v>
      </c>
    </row>
    <row r="672" spans="1:19">
      <c r="A672" s="1" t="s">
        <v>19</v>
      </c>
      <c r="B672" s="2" t="s">
        <v>25</v>
      </c>
      <c r="C672" s="3" t="s">
        <v>42</v>
      </c>
      <c r="D672" s="3" t="s">
        <v>52</v>
      </c>
      <c r="E672" s="2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4">
        <v>45352</v>
      </c>
      <c r="N672" s="5">
        <v>3</v>
      </c>
      <c r="O672" s="3" t="s">
        <v>32</v>
      </c>
      <c r="P672" s="6" t="s">
        <v>24</v>
      </c>
      <c r="Q672" s="14">
        <f t="shared" si="30"/>
        <v>45352</v>
      </c>
      <c r="R672" s="15">
        <f t="shared" si="31"/>
        <v>0.41176470588235292</v>
      </c>
      <c r="S672" s="16">
        <f t="shared" si="32"/>
        <v>0.15</v>
      </c>
    </row>
    <row r="673" spans="1:19">
      <c r="A673" s="1" t="s">
        <v>26</v>
      </c>
      <c r="B673" s="2" t="s">
        <v>20</v>
      </c>
      <c r="C673" s="3" t="s">
        <v>42</v>
      </c>
      <c r="D673" s="3" t="s">
        <v>52</v>
      </c>
      <c r="E673" s="2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4">
        <v>45383</v>
      </c>
      <c r="N673" s="5">
        <v>4</v>
      </c>
      <c r="O673" s="3" t="s">
        <v>47</v>
      </c>
      <c r="P673" s="6" t="s">
        <v>24</v>
      </c>
      <c r="Q673" s="14">
        <f t="shared" si="30"/>
        <v>45383</v>
      </c>
      <c r="R673" s="15">
        <f t="shared" si="31"/>
        <v>0.21568627450980393</v>
      </c>
      <c r="S673" s="16">
        <f t="shared" si="32"/>
        <v>0.15</v>
      </c>
    </row>
    <row r="674" spans="1:19">
      <c r="A674" s="1" t="s">
        <v>19</v>
      </c>
      <c r="B674" s="2" t="s">
        <v>29</v>
      </c>
      <c r="C674" s="3" t="s">
        <v>42</v>
      </c>
      <c r="D674" s="3" t="s">
        <v>52</v>
      </c>
      <c r="E674" s="2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4">
        <v>45383</v>
      </c>
      <c r="N674" s="5">
        <v>4</v>
      </c>
      <c r="O674" s="3" t="s">
        <v>47</v>
      </c>
      <c r="P674" s="6" t="s">
        <v>24</v>
      </c>
      <c r="Q674" s="14">
        <f t="shared" si="30"/>
        <v>45383</v>
      </c>
      <c r="R674" s="15">
        <f t="shared" si="31"/>
        <v>0.15966386554621848</v>
      </c>
      <c r="S674" s="16">
        <f t="shared" si="32"/>
        <v>0.15</v>
      </c>
    </row>
    <row r="675" spans="1:19">
      <c r="A675" s="1" t="s">
        <v>19</v>
      </c>
      <c r="B675" s="2" t="s">
        <v>29</v>
      </c>
      <c r="C675" s="3" t="s">
        <v>42</v>
      </c>
      <c r="D675" s="3" t="s">
        <v>52</v>
      </c>
      <c r="E675" s="2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4">
        <v>45413</v>
      </c>
      <c r="N675" s="5">
        <v>5</v>
      </c>
      <c r="O675" s="3" t="s">
        <v>50</v>
      </c>
      <c r="P675" s="6" t="s">
        <v>24</v>
      </c>
      <c r="Q675" s="14">
        <f t="shared" si="30"/>
        <v>45413</v>
      </c>
      <c r="R675" s="15">
        <f t="shared" si="31"/>
        <v>0.12605042016806722</v>
      </c>
      <c r="S675" s="16">
        <f t="shared" si="32"/>
        <v>0.15</v>
      </c>
    </row>
    <row r="676" spans="1:19">
      <c r="A676" s="1" t="s">
        <v>26</v>
      </c>
      <c r="B676" s="2" t="s">
        <v>20</v>
      </c>
      <c r="C676" s="3" t="s">
        <v>42</v>
      </c>
      <c r="D676" s="3" t="s">
        <v>52</v>
      </c>
      <c r="E676" s="2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4">
        <v>45505</v>
      </c>
      <c r="N676" s="5">
        <v>8</v>
      </c>
      <c r="O676" s="3" t="s">
        <v>37</v>
      </c>
      <c r="P676" s="6" t="s">
        <v>24</v>
      </c>
      <c r="Q676" s="14">
        <f t="shared" si="30"/>
        <v>45505</v>
      </c>
      <c r="R676" s="15">
        <f t="shared" si="31"/>
        <v>0.21568627450980393</v>
      </c>
      <c r="S676" s="16">
        <f t="shared" si="32"/>
        <v>0.15</v>
      </c>
    </row>
    <row r="677" spans="1:19">
      <c r="A677" s="1" t="s">
        <v>19</v>
      </c>
      <c r="B677" s="2" t="s">
        <v>41</v>
      </c>
      <c r="C677" s="3" t="s">
        <v>42</v>
      </c>
      <c r="D677" s="3" t="s">
        <v>52</v>
      </c>
      <c r="E677" s="2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4">
        <v>45200</v>
      </c>
      <c r="N677" s="5">
        <v>10</v>
      </c>
      <c r="O677" s="3" t="s">
        <v>39</v>
      </c>
      <c r="P677" s="6" t="s">
        <v>40</v>
      </c>
      <c r="Q677" s="14">
        <f t="shared" si="30"/>
        <v>45200</v>
      </c>
      <c r="R677" s="15">
        <f t="shared" si="31"/>
        <v>0.41176470588235292</v>
      </c>
      <c r="S677" s="16">
        <f t="shared" si="32"/>
        <v>0.15</v>
      </c>
    </row>
    <row r="678" spans="1:19">
      <c r="A678" s="1" t="s">
        <v>34</v>
      </c>
      <c r="B678" s="2" t="s">
        <v>25</v>
      </c>
      <c r="C678" s="3" t="s">
        <v>42</v>
      </c>
      <c r="D678" s="3" t="s">
        <v>52</v>
      </c>
      <c r="E678" s="2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4">
        <v>45566</v>
      </c>
      <c r="N678" s="5">
        <v>10</v>
      </c>
      <c r="O678" s="3" t="s">
        <v>39</v>
      </c>
      <c r="P678" s="6" t="s">
        <v>24</v>
      </c>
      <c r="Q678" s="14">
        <f t="shared" si="30"/>
        <v>45566</v>
      </c>
      <c r="R678" s="15">
        <f t="shared" si="31"/>
        <v>-0.12941176470588237</v>
      </c>
      <c r="S678" s="16">
        <f t="shared" si="32"/>
        <v>0.15</v>
      </c>
    </row>
    <row r="679" spans="1:19">
      <c r="A679" s="1" t="s">
        <v>26</v>
      </c>
      <c r="B679" s="2" t="s">
        <v>25</v>
      </c>
      <c r="C679" s="3" t="s">
        <v>42</v>
      </c>
      <c r="D679" s="3" t="s">
        <v>52</v>
      </c>
      <c r="E679" s="2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4">
        <v>45566</v>
      </c>
      <c r="N679" s="5">
        <v>10</v>
      </c>
      <c r="O679" s="3" t="s">
        <v>39</v>
      </c>
      <c r="P679" s="6" t="s">
        <v>24</v>
      </c>
      <c r="Q679" s="14">
        <f t="shared" si="30"/>
        <v>45566</v>
      </c>
      <c r="R679" s="15">
        <f t="shared" si="31"/>
        <v>0.21568627450980393</v>
      </c>
      <c r="S679" s="16">
        <f t="shared" si="32"/>
        <v>0.15</v>
      </c>
    </row>
    <row r="680" spans="1:19">
      <c r="A680" s="1" t="s">
        <v>19</v>
      </c>
      <c r="B680" s="2" t="s">
        <v>41</v>
      </c>
      <c r="C680" s="3" t="s">
        <v>42</v>
      </c>
      <c r="D680" s="3" t="s">
        <v>52</v>
      </c>
      <c r="E680" s="2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4">
        <v>45231</v>
      </c>
      <c r="N680" s="5">
        <v>11</v>
      </c>
      <c r="O680" s="3" t="s">
        <v>44</v>
      </c>
      <c r="P680" s="6" t="s">
        <v>40</v>
      </c>
      <c r="Q680" s="14">
        <f t="shared" si="30"/>
        <v>45231</v>
      </c>
      <c r="R680" s="15">
        <f t="shared" si="31"/>
        <v>0.12605042016806722</v>
      </c>
      <c r="S680" s="16">
        <f t="shared" si="32"/>
        <v>0.15</v>
      </c>
    </row>
    <row r="681" spans="1:19">
      <c r="A681" s="1" t="s">
        <v>19</v>
      </c>
      <c r="B681" s="2" t="s">
        <v>29</v>
      </c>
      <c r="C681" s="3" t="s">
        <v>42</v>
      </c>
      <c r="D681" s="3" t="s">
        <v>52</v>
      </c>
      <c r="E681" s="2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4">
        <v>45231</v>
      </c>
      <c r="N681" s="5">
        <v>11</v>
      </c>
      <c r="O681" s="3" t="s">
        <v>44</v>
      </c>
      <c r="P681" s="6" t="s">
        <v>40</v>
      </c>
      <c r="Q681" s="14">
        <f t="shared" si="30"/>
        <v>45231</v>
      </c>
      <c r="R681" s="15">
        <f t="shared" si="31"/>
        <v>0.12605042016806722</v>
      </c>
      <c r="S681" s="16">
        <f t="shared" si="32"/>
        <v>0.15</v>
      </c>
    </row>
    <row r="682" spans="1:19">
      <c r="A682" s="1" t="s">
        <v>33</v>
      </c>
      <c r="B682" s="2" t="s">
        <v>41</v>
      </c>
      <c r="C682" s="3" t="s">
        <v>42</v>
      </c>
      <c r="D682" s="3" t="s">
        <v>52</v>
      </c>
      <c r="E682" s="2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6580.7999999999993</v>
      </c>
      <c r="M682" s="4">
        <v>45627</v>
      </c>
      <c r="N682" s="5">
        <v>12</v>
      </c>
      <c r="O682" s="3" t="s">
        <v>30</v>
      </c>
      <c r="P682" s="6" t="s">
        <v>24</v>
      </c>
      <c r="Q682" s="14">
        <f t="shared" si="30"/>
        <v>45627</v>
      </c>
      <c r="R682" s="15">
        <f t="shared" si="31"/>
        <v>0.70588235294117641</v>
      </c>
      <c r="S682" s="16">
        <f t="shared" si="32"/>
        <v>0.15</v>
      </c>
    </row>
    <row r="683" spans="1:19">
      <c r="A683" s="1" t="s">
        <v>19</v>
      </c>
      <c r="B683" s="2" t="s">
        <v>27</v>
      </c>
      <c r="C683" s="3" t="s">
        <v>42</v>
      </c>
      <c r="D683" s="3" t="s">
        <v>52</v>
      </c>
      <c r="E683" s="2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4">
        <v>45627</v>
      </c>
      <c r="N683" s="5">
        <v>12</v>
      </c>
      <c r="O683" s="3" t="s">
        <v>30</v>
      </c>
      <c r="P683" s="6" t="s">
        <v>24</v>
      </c>
      <c r="Q683" s="14">
        <f t="shared" si="30"/>
        <v>45627</v>
      </c>
      <c r="R683" s="15">
        <f t="shared" si="31"/>
        <v>0.41176470588235292</v>
      </c>
      <c r="S683" s="16">
        <f t="shared" si="32"/>
        <v>0.15</v>
      </c>
    </row>
    <row r="684" spans="1:19">
      <c r="A684" s="1" t="s">
        <v>33</v>
      </c>
      <c r="B684" s="2" t="s">
        <v>29</v>
      </c>
      <c r="C684" s="3" t="s">
        <v>45</v>
      </c>
      <c r="D684" s="3" t="s">
        <v>52</v>
      </c>
      <c r="E684" s="2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4">
        <v>45352</v>
      </c>
      <c r="N684" s="5">
        <v>3</v>
      </c>
      <c r="O684" s="3" t="s">
        <v>32</v>
      </c>
      <c r="P684" s="6" t="s">
        <v>24</v>
      </c>
      <c r="Q684" s="14">
        <f t="shared" si="30"/>
        <v>45352</v>
      </c>
      <c r="R684" s="15">
        <f t="shared" si="31"/>
        <v>0.70588235294117652</v>
      </c>
      <c r="S684" s="16">
        <f t="shared" si="32"/>
        <v>0.15</v>
      </c>
    </row>
    <row r="685" spans="1:19">
      <c r="A685" s="1" t="s">
        <v>26</v>
      </c>
      <c r="B685" s="2" t="s">
        <v>27</v>
      </c>
      <c r="C685" s="3" t="s">
        <v>45</v>
      </c>
      <c r="D685" s="3" t="s">
        <v>52</v>
      </c>
      <c r="E685" s="2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4">
        <v>45413</v>
      </c>
      <c r="N685" s="5">
        <v>5</v>
      </c>
      <c r="O685" s="3" t="s">
        <v>50</v>
      </c>
      <c r="P685" s="6" t="s">
        <v>24</v>
      </c>
      <c r="Q685" s="14">
        <f t="shared" si="30"/>
        <v>45413</v>
      </c>
      <c r="R685" s="15">
        <f t="shared" si="31"/>
        <v>0.21568627450980393</v>
      </c>
      <c r="S685" s="16">
        <f t="shared" si="32"/>
        <v>0.15</v>
      </c>
    </row>
    <row r="686" spans="1:19">
      <c r="A686" s="1" t="s">
        <v>34</v>
      </c>
      <c r="B686" s="2" t="s">
        <v>27</v>
      </c>
      <c r="C686" s="3" t="s">
        <v>45</v>
      </c>
      <c r="D686" s="3" t="s">
        <v>52</v>
      </c>
      <c r="E686" s="2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4">
        <v>45536</v>
      </c>
      <c r="N686" s="5">
        <v>9</v>
      </c>
      <c r="O686" s="3" t="s">
        <v>38</v>
      </c>
      <c r="P686" s="6" t="s">
        <v>24</v>
      </c>
      <c r="Q686" s="14">
        <f t="shared" si="30"/>
        <v>45536</v>
      </c>
      <c r="R686" s="15">
        <f t="shared" si="31"/>
        <v>-0.12941176470588237</v>
      </c>
      <c r="S686" s="16">
        <f t="shared" si="32"/>
        <v>0.15</v>
      </c>
    </row>
    <row r="687" spans="1:19">
      <c r="A687" s="1" t="s">
        <v>36</v>
      </c>
      <c r="B687" s="2" t="s">
        <v>41</v>
      </c>
      <c r="C687" s="3" t="s">
        <v>45</v>
      </c>
      <c r="D687" s="3" t="s">
        <v>52</v>
      </c>
      <c r="E687" s="2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4">
        <v>45231</v>
      </c>
      <c r="N687" s="5">
        <v>11</v>
      </c>
      <c r="O687" s="3" t="s">
        <v>44</v>
      </c>
      <c r="P687" s="6" t="s">
        <v>40</v>
      </c>
      <c r="Q687" s="14">
        <f t="shared" si="30"/>
        <v>45231</v>
      </c>
      <c r="R687" s="15">
        <f t="shared" si="31"/>
        <v>1.9607843137254902E-2</v>
      </c>
      <c r="S687" s="16">
        <f t="shared" si="32"/>
        <v>0.15</v>
      </c>
    </row>
    <row r="688" spans="1:19">
      <c r="A688" s="1" t="s">
        <v>34</v>
      </c>
      <c r="B688" s="2" t="s">
        <v>41</v>
      </c>
      <c r="C688" s="3" t="s">
        <v>45</v>
      </c>
      <c r="D688" s="3" t="s">
        <v>52</v>
      </c>
      <c r="E688" s="2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4">
        <v>45261</v>
      </c>
      <c r="N688" s="5">
        <v>12</v>
      </c>
      <c r="O688" s="3" t="s">
        <v>30</v>
      </c>
      <c r="P688" s="6" t="s">
        <v>40</v>
      </c>
      <c r="Q688" s="14">
        <f t="shared" si="30"/>
        <v>45261</v>
      </c>
      <c r="R688" s="15">
        <f t="shared" si="31"/>
        <v>-0.12941176470588237</v>
      </c>
      <c r="S688" s="16">
        <f t="shared" si="32"/>
        <v>0.15</v>
      </c>
    </row>
    <row r="689" spans="1:19">
      <c r="A689" s="1" t="s">
        <v>33</v>
      </c>
      <c r="B689" s="2" t="s">
        <v>41</v>
      </c>
      <c r="C689" s="3" t="s">
        <v>45</v>
      </c>
      <c r="D689" s="3" t="s">
        <v>52</v>
      </c>
      <c r="E689" s="2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6580.7999999999993</v>
      </c>
      <c r="M689" s="4">
        <v>45627</v>
      </c>
      <c r="N689" s="5">
        <v>12</v>
      </c>
      <c r="O689" s="3" t="s">
        <v>30</v>
      </c>
      <c r="P689" s="6" t="s">
        <v>24</v>
      </c>
      <c r="Q689" s="14">
        <f t="shared" si="30"/>
        <v>45627</v>
      </c>
      <c r="R689" s="15">
        <f t="shared" si="31"/>
        <v>0.70588235294117641</v>
      </c>
      <c r="S689" s="16">
        <f t="shared" si="32"/>
        <v>0.15</v>
      </c>
    </row>
    <row r="690" spans="1:19">
      <c r="A690" s="1" t="s">
        <v>19</v>
      </c>
      <c r="B690" s="2" t="s">
        <v>20</v>
      </c>
      <c r="C690" s="3" t="s">
        <v>46</v>
      </c>
      <c r="D690" s="3" t="s">
        <v>52</v>
      </c>
      <c r="E690" s="2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4">
        <v>45474</v>
      </c>
      <c r="N690" s="5">
        <v>7</v>
      </c>
      <c r="O690" s="3" t="s">
        <v>35</v>
      </c>
      <c r="P690" s="6" t="s">
        <v>24</v>
      </c>
      <c r="Q690" s="14">
        <f t="shared" si="30"/>
        <v>45474</v>
      </c>
      <c r="R690" s="15">
        <f t="shared" si="31"/>
        <v>0.41176470588235292</v>
      </c>
      <c r="S690" s="16">
        <f t="shared" si="32"/>
        <v>0.15</v>
      </c>
    </row>
    <row r="691" spans="1:19">
      <c r="A691" s="1" t="s">
        <v>26</v>
      </c>
      <c r="B691" s="2" t="s">
        <v>25</v>
      </c>
      <c r="C691" s="3" t="s">
        <v>46</v>
      </c>
      <c r="D691" s="3" t="s">
        <v>52</v>
      </c>
      <c r="E691" s="2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4">
        <v>45474</v>
      </c>
      <c r="N691" s="5">
        <v>7</v>
      </c>
      <c r="O691" s="3" t="s">
        <v>35</v>
      </c>
      <c r="P691" s="6" t="s">
        <v>24</v>
      </c>
      <c r="Q691" s="14">
        <f t="shared" si="30"/>
        <v>45474</v>
      </c>
      <c r="R691" s="15">
        <f t="shared" si="31"/>
        <v>0.21568627450980393</v>
      </c>
      <c r="S691" s="16">
        <f t="shared" si="32"/>
        <v>0.15</v>
      </c>
    </row>
    <row r="692" spans="1:19">
      <c r="A692" s="1" t="s">
        <v>19</v>
      </c>
      <c r="B692" s="2" t="s">
        <v>41</v>
      </c>
      <c r="C692" s="3" t="s">
        <v>46</v>
      </c>
      <c r="D692" s="3" t="s">
        <v>52</v>
      </c>
      <c r="E692" s="2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4">
        <v>45200</v>
      </c>
      <c r="N692" s="5">
        <v>10</v>
      </c>
      <c r="O692" s="3" t="s">
        <v>39</v>
      </c>
      <c r="P692" s="6" t="s">
        <v>40</v>
      </c>
      <c r="Q692" s="14">
        <f t="shared" si="30"/>
        <v>45200</v>
      </c>
      <c r="R692" s="15">
        <f t="shared" si="31"/>
        <v>0.41176470588235292</v>
      </c>
      <c r="S692" s="16">
        <f t="shared" si="32"/>
        <v>0.15</v>
      </c>
    </row>
    <row r="693" spans="1:19">
      <c r="A693" s="1" t="s">
        <v>26</v>
      </c>
      <c r="B693" s="2" t="s">
        <v>25</v>
      </c>
      <c r="C693" s="3" t="s">
        <v>46</v>
      </c>
      <c r="D693" s="3" t="s">
        <v>52</v>
      </c>
      <c r="E693" s="2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4">
        <v>45566</v>
      </c>
      <c r="N693" s="5">
        <v>10</v>
      </c>
      <c r="O693" s="3" t="s">
        <v>39</v>
      </c>
      <c r="P693" s="6" t="s">
        <v>24</v>
      </c>
      <c r="Q693" s="14">
        <f t="shared" si="30"/>
        <v>45566</v>
      </c>
      <c r="R693" s="15">
        <f t="shared" si="31"/>
        <v>0.21568627450980393</v>
      </c>
      <c r="S693" s="16">
        <f t="shared" si="32"/>
        <v>0.15</v>
      </c>
    </row>
    <row r="694" spans="1:19">
      <c r="A694" s="1" t="s">
        <v>34</v>
      </c>
      <c r="B694" s="2" t="s">
        <v>20</v>
      </c>
      <c r="C694" s="3" t="s">
        <v>46</v>
      </c>
      <c r="D694" s="3" t="s">
        <v>52</v>
      </c>
      <c r="E694" s="2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4">
        <v>45231</v>
      </c>
      <c r="N694" s="5">
        <v>11</v>
      </c>
      <c r="O694" s="3" t="s">
        <v>44</v>
      </c>
      <c r="P694" s="6" t="s">
        <v>40</v>
      </c>
      <c r="Q694" s="14">
        <f t="shared" si="30"/>
        <v>45231</v>
      </c>
      <c r="R694" s="15">
        <f t="shared" si="31"/>
        <v>-0.12941176470588237</v>
      </c>
      <c r="S694" s="16">
        <f t="shared" si="32"/>
        <v>0.15</v>
      </c>
    </row>
    <row r="695" spans="1:19">
      <c r="A695" s="1" t="s">
        <v>34</v>
      </c>
      <c r="B695" s="2" t="s">
        <v>25</v>
      </c>
      <c r="C695" s="3" t="s">
        <v>46</v>
      </c>
      <c r="D695" s="3" t="s">
        <v>52</v>
      </c>
      <c r="E695" s="2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4">
        <v>45597</v>
      </c>
      <c r="N695" s="5">
        <v>11</v>
      </c>
      <c r="O695" s="3" t="s">
        <v>44</v>
      </c>
      <c r="P695" s="6" t="s">
        <v>24</v>
      </c>
      <c r="Q695" s="14">
        <f t="shared" si="30"/>
        <v>45597</v>
      </c>
      <c r="R695" s="15">
        <f t="shared" si="31"/>
        <v>-0.12941176470588237</v>
      </c>
      <c r="S695" s="16">
        <f t="shared" si="32"/>
        <v>0.15</v>
      </c>
    </row>
    <row r="696" spans="1:19">
      <c r="A696" s="1" t="s">
        <v>19</v>
      </c>
      <c r="B696" s="2" t="s">
        <v>27</v>
      </c>
      <c r="C696" s="3" t="s">
        <v>46</v>
      </c>
      <c r="D696" s="3" t="s">
        <v>52</v>
      </c>
      <c r="E696" s="2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4">
        <v>45627</v>
      </c>
      <c r="N696" s="5">
        <v>12</v>
      </c>
      <c r="O696" s="3" t="s">
        <v>30</v>
      </c>
      <c r="P696" s="6" t="s">
        <v>24</v>
      </c>
      <c r="Q696" s="14">
        <f t="shared" si="30"/>
        <v>45627</v>
      </c>
      <c r="R696" s="15">
        <f t="shared" si="31"/>
        <v>0.41176470588235292</v>
      </c>
      <c r="S696" s="16">
        <f t="shared" si="32"/>
        <v>0.15</v>
      </c>
    </row>
    <row r="697" spans="1:19">
      <c r="A697" s="1" t="s">
        <v>36</v>
      </c>
      <c r="B697" s="2" t="s">
        <v>27</v>
      </c>
      <c r="C697" s="3" t="s">
        <v>48</v>
      </c>
      <c r="D697" s="3" t="s">
        <v>52</v>
      </c>
      <c r="E697" s="2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4">
        <v>45352</v>
      </c>
      <c r="N697" s="5">
        <v>3</v>
      </c>
      <c r="O697" s="3" t="s">
        <v>32</v>
      </c>
      <c r="P697" s="6" t="s">
        <v>24</v>
      </c>
      <c r="Q697" s="14">
        <f t="shared" si="30"/>
        <v>45352</v>
      </c>
      <c r="R697" s="15">
        <f t="shared" si="31"/>
        <v>1.9607843137254902E-2</v>
      </c>
      <c r="S697" s="16">
        <f t="shared" si="32"/>
        <v>0.15</v>
      </c>
    </row>
    <row r="698" spans="1:19">
      <c r="A698" s="1" t="s">
        <v>36</v>
      </c>
      <c r="B698" s="2" t="s">
        <v>29</v>
      </c>
      <c r="C698" s="3" t="s">
        <v>48</v>
      </c>
      <c r="D698" s="3" t="s">
        <v>52</v>
      </c>
      <c r="E698" s="2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4">
        <v>45566</v>
      </c>
      <c r="N698" s="5">
        <v>10</v>
      </c>
      <c r="O698" s="3" t="s">
        <v>39</v>
      </c>
      <c r="P698" s="6" t="s">
        <v>24</v>
      </c>
      <c r="Q698" s="14">
        <f t="shared" si="30"/>
        <v>45566</v>
      </c>
      <c r="R698" s="15">
        <f t="shared" si="31"/>
        <v>1.9607843137254902E-2</v>
      </c>
      <c r="S698" s="16">
        <f t="shared" si="32"/>
        <v>0.15</v>
      </c>
    </row>
    <row r="699" spans="1:19">
      <c r="A699" s="1" t="s">
        <v>19</v>
      </c>
      <c r="B699" s="2" t="s">
        <v>29</v>
      </c>
      <c r="C699" s="3" t="s">
        <v>31</v>
      </c>
      <c r="D699" s="3" t="s">
        <v>52</v>
      </c>
      <c r="E699" s="2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1299.6000000000004</v>
      </c>
      <c r="M699" s="4">
        <v>45323</v>
      </c>
      <c r="N699" s="5">
        <v>2</v>
      </c>
      <c r="O699" s="3" t="s">
        <v>43</v>
      </c>
      <c r="P699" s="6" t="s">
        <v>24</v>
      </c>
      <c r="Q699" s="14">
        <f t="shared" si="30"/>
        <v>45323</v>
      </c>
      <c r="R699" s="15">
        <f t="shared" si="31"/>
        <v>0.15966386554621853</v>
      </c>
      <c r="S699" s="16">
        <f t="shared" si="32"/>
        <v>0.15000000000000002</v>
      </c>
    </row>
    <row r="700" spans="1:19">
      <c r="A700" s="1" t="s">
        <v>19</v>
      </c>
      <c r="B700" s="2" t="s">
        <v>20</v>
      </c>
      <c r="C700" s="3" t="s">
        <v>42</v>
      </c>
      <c r="D700" s="3" t="s">
        <v>52</v>
      </c>
      <c r="E700" s="2">
        <v>723</v>
      </c>
      <c r="F700" s="3">
        <v>10</v>
      </c>
      <c r="G700" s="3">
        <v>7</v>
      </c>
      <c r="H700" s="3">
        <v>5061</v>
      </c>
      <c r="I700" s="3">
        <v>759.15000000000009</v>
      </c>
      <c r="J700" s="3">
        <v>4301.8500000000004</v>
      </c>
      <c r="K700" s="3">
        <v>3615</v>
      </c>
      <c r="L700" s="3">
        <v>686.85000000000014</v>
      </c>
      <c r="M700" s="4">
        <v>45383</v>
      </c>
      <c r="N700" s="5">
        <v>4</v>
      </c>
      <c r="O700" s="3" t="s">
        <v>47</v>
      </c>
      <c r="P700" s="6" t="s">
        <v>24</v>
      </c>
      <c r="Q700" s="14">
        <f t="shared" si="30"/>
        <v>45383</v>
      </c>
      <c r="R700" s="15">
        <f t="shared" si="31"/>
        <v>0.1596638655462185</v>
      </c>
      <c r="S700" s="16">
        <f t="shared" si="32"/>
        <v>0.15000000000000002</v>
      </c>
    </row>
    <row r="701" spans="1:19">
      <c r="A701" s="1" t="s">
        <v>33</v>
      </c>
      <c r="B701" s="2" t="s">
        <v>41</v>
      </c>
      <c r="C701" s="3" t="s">
        <v>46</v>
      </c>
      <c r="D701" s="3" t="s">
        <v>52</v>
      </c>
      <c r="E701" s="2">
        <v>1806</v>
      </c>
      <c r="F701" s="3">
        <v>250</v>
      </c>
      <c r="G701" s="3">
        <v>12</v>
      </c>
      <c r="H701" s="3">
        <v>21672</v>
      </c>
      <c r="I701" s="3">
        <v>3250.8</v>
      </c>
      <c r="J701" s="3">
        <v>18421.2</v>
      </c>
      <c r="K701" s="3">
        <v>5418</v>
      </c>
      <c r="L701" s="3">
        <v>13003.2</v>
      </c>
      <c r="M701" s="4">
        <v>45413</v>
      </c>
      <c r="N701" s="5">
        <v>5</v>
      </c>
      <c r="O701" s="3" t="s">
        <v>50</v>
      </c>
      <c r="P701" s="6" t="s">
        <v>24</v>
      </c>
      <c r="Q701" s="14">
        <f t="shared" si="30"/>
        <v>45413</v>
      </c>
      <c r="R701" s="15">
        <f t="shared" si="31"/>
        <v>0.70588235294117652</v>
      </c>
      <c r="S701" s="16">
        <f t="shared" si="32"/>
        <v>0.15000000000000002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EE5C-A2D8-47C0-B4A1-2198276037B2}">
  <dimension ref="A1:Q18"/>
  <sheetViews>
    <sheetView workbookViewId="0"/>
  </sheetViews>
  <sheetFormatPr defaultRowHeight="15.6"/>
  <cols>
    <col min="1" max="1" width="20.375" bestFit="1" customWidth="1"/>
    <col min="2" max="2" width="16" bestFit="1" customWidth="1"/>
    <col min="3" max="3" width="9.125" bestFit="1" customWidth="1"/>
    <col min="4" max="5" width="11" bestFit="1" customWidth="1"/>
    <col min="6" max="6" width="9.875" bestFit="1" customWidth="1"/>
    <col min="7" max="7" width="11" bestFit="1" customWidth="1"/>
    <col min="15" max="15" width="13" bestFit="1" customWidth="1"/>
    <col min="16" max="16" width="14.375" bestFit="1" customWidth="1"/>
    <col min="17" max="17" width="16.125" bestFit="1" customWidth="1"/>
  </cols>
  <sheetData>
    <row r="1" spans="1:17">
      <c r="A1" s="17" t="s">
        <v>53</v>
      </c>
      <c r="B1" s="17" t="s">
        <v>54</v>
      </c>
      <c r="O1" s="17" t="s">
        <v>55</v>
      </c>
      <c r="P1" t="s">
        <v>56</v>
      </c>
      <c r="Q1" t="s">
        <v>57</v>
      </c>
    </row>
    <row r="2" spans="1:17">
      <c r="A2" s="17" t="s">
        <v>55</v>
      </c>
      <c r="B2" t="s">
        <v>36</v>
      </c>
      <c r="C2" t="s">
        <v>34</v>
      </c>
      <c r="D2" t="s">
        <v>19</v>
      </c>
      <c r="E2" t="s">
        <v>26</v>
      </c>
      <c r="F2" t="s">
        <v>33</v>
      </c>
      <c r="G2" t="s">
        <v>58</v>
      </c>
      <c r="O2" s="19">
        <v>45170</v>
      </c>
      <c r="P2" s="20">
        <v>9.8258729706984127</v>
      </c>
      <c r="Q2" s="20">
        <v>2.5200000000000009</v>
      </c>
    </row>
    <row r="3" spans="1:17">
      <c r="A3" s="18" t="s">
        <v>20</v>
      </c>
      <c r="B3" s="21">
        <v>900799</v>
      </c>
      <c r="C3" s="21">
        <v>-121508.75</v>
      </c>
      <c r="D3" s="21">
        <v>2258471.5200000005</v>
      </c>
      <c r="E3" s="21">
        <v>132488.97499999998</v>
      </c>
      <c r="F3" s="21">
        <v>358978.1399999999</v>
      </c>
      <c r="G3" s="21">
        <v>3529228.8850000007</v>
      </c>
      <c r="O3" s="19">
        <v>45200</v>
      </c>
      <c r="P3" s="20">
        <v>20.068988986783317</v>
      </c>
      <c r="Q3" s="20">
        <v>4.7400000000000011</v>
      </c>
    </row>
    <row r="4" spans="1:17">
      <c r="A4" s="18" t="s">
        <v>27</v>
      </c>
      <c r="B4" s="21">
        <v>730731.5</v>
      </c>
      <c r="C4" s="21">
        <v>-95749.375</v>
      </c>
      <c r="D4" s="21">
        <v>2709915.22</v>
      </c>
      <c r="E4" s="21">
        <v>164542.07499999998</v>
      </c>
      <c r="F4" s="21">
        <v>271581.36</v>
      </c>
      <c r="G4" s="21">
        <v>3781020.7800000003</v>
      </c>
      <c r="O4" s="19">
        <v>45231</v>
      </c>
      <c r="P4" s="20">
        <v>9.3783746243864723</v>
      </c>
      <c r="Q4" s="20">
        <v>2.9200000000000004</v>
      </c>
    </row>
    <row r="5" spans="1:17">
      <c r="A5" s="18" t="s">
        <v>25</v>
      </c>
      <c r="B5" s="21">
        <v>771973</v>
      </c>
      <c r="C5" s="21">
        <v>-101473.75</v>
      </c>
      <c r="D5" s="21">
        <v>2677175.9400000018</v>
      </c>
      <c r="E5" s="21">
        <v>85364.75</v>
      </c>
      <c r="F5" s="21">
        <v>247358.87999999998</v>
      </c>
      <c r="G5" s="21">
        <v>3680398.8200000017</v>
      </c>
      <c r="O5" s="19">
        <v>45261</v>
      </c>
      <c r="P5" s="20">
        <v>9.757248105582093</v>
      </c>
      <c r="Q5" s="20">
        <v>2.5400000000000009</v>
      </c>
    </row>
    <row r="6" spans="1:17">
      <c r="A6" s="18" t="s">
        <v>29</v>
      </c>
      <c r="B6" s="21">
        <v>667606</v>
      </c>
      <c r="C6" s="21">
        <v>-120678.75</v>
      </c>
      <c r="D6" s="21">
        <v>2039159.3800000001</v>
      </c>
      <c r="E6" s="21">
        <v>150546.40000000002</v>
      </c>
      <c r="F6" s="21">
        <v>170890.08</v>
      </c>
      <c r="G6" s="21">
        <v>2907523.11</v>
      </c>
      <c r="O6" s="19">
        <v>45292</v>
      </c>
      <c r="P6" s="20">
        <v>9.4594819221262973</v>
      </c>
      <c r="Q6" s="20">
        <v>2.8400000000000003</v>
      </c>
    </row>
    <row r="7" spans="1:17">
      <c r="A7" s="18" t="s">
        <v>41</v>
      </c>
      <c r="B7" s="21">
        <v>1072059</v>
      </c>
      <c r="C7" s="21">
        <v>-175135</v>
      </c>
      <c r="D7" s="21">
        <v>1703451.1099999996</v>
      </c>
      <c r="E7" s="21">
        <v>127170.87500000001</v>
      </c>
      <c r="F7" s="21">
        <v>267994.67999999993</v>
      </c>
      <c r="G7" s="21">
        <v>2995540.6649999991</v>
      </c>
      <c r="O7" s="19">
        <v>45323</v>
      </c>
      <c r="P7" s="20">
        <v>9.9428407352800043</v>
      </c>
      <c r="Q7" s="20">
        <v>2.3303475842891901</v>
      </c>
    </row>
    <row r="8" spans="1:17">
      <c r="A8" s="18" t="s">
        <v>58</v>
      </c>
      <c r="B8" s="21">
        <v>4143168.5</v>
      </c>
      <c r="C8" s="21">
        <v>-614545.625</v>
      </c>
      <c r="D8" s="21">
        <v>11388173.170000002</v>
      </c>
      <c r="E8" s="21">
        <v>660113.07499999995</v>
      </c>
      <c r="F8" s="21">
        <v>1316803.1399999999</v>
      </c>
      <c r="G8" s="21">
        <v>16893712.260000002</v>
      </c>
      <c r="O8" s="19">
        <v>45352</v>
      </c>
      <c r="P8" s="20">
        <v>9.6862861944689982</v>
      </c>
      <c r="Q8" s="20">
        <v>2.7199999999999998</v>
      </c>
    </row>
    <row r="9" spans="1:17">
      <c r="O9" s="19">
        <v>45383</v>
      </c>
      <c r="P9" s="20">
        <v>9.8424186612562234</v>
      </c>
      <c r="Q9" s="20">
        <v>2.42</v>
      </c>
    </row>
    <row r="10" spans="1:17">
      <c r="O10" s="19">
        <v>45413</v>
      </c>
      <c r="P10" s="20">
        <v>9.6090800322692278</v>
      </c>
      <c r="Q10" s="20">
        <v>2.8600000000000008</v>
      </c>
    </row>
    <row r="11" spans="1:17">
      <c r="O11" s="19">
        <v>45444</v>
      </c>
      <c r="P11" s="20">
        <v>20.327100859756875</v>
      </c>
      <c r="Q11" s="20">
        <v>3.9999999999999996</v>
      </c>
    </row>
    <row r="12" spans="1:17">
      <c r="O12" s="19">
        <v>45474</v>
      </c>
      <c r="P12" s="20">
        <v>9.5866172035357042</v>
      </c>
      <c r="Q12" s="20">
        <v>2.8500000000000005</v>
      </c>
    </row>
    <row r="13" spans="1:17">
      <c r="O13" s="19">
        <v>45505</v>
      </c>
      <c r="P13" s="20">
        <v>9.8319341166606229</v>
      </c>
      <c r="Q13" s="20">
        <v>2.4700000000000002</v>
      </c>
    </row>
    <row r="14" spans="1:17">
      <c r="O14" s="19">
        <v>45536</v>
      </c>
      <c r="P14" s="20">
        <v>9.8668883386133288</v>
      </c>
      <c r="Q14" s="20">
        <v>2.2800000000000002</v>
      </c>
    </row>
    <row r="15" spans="1:17">
      <c r="O15" s="19">
        <v>45566</v>
      </c>
      <c r="P15" s="20">
        <v>18.688798953828396</v>
      </c>
      <c r="Q15" s="20">
        <v>6.2601986195938233</v>
      </c>
    </row>
    <row r="16" spans="1:17">
      <c r="O16" s="19">
        <v>45597</v>
      </c>
      <c r="P16" s="20">
        <v>9.3380944566544599</v>
      </c>
      <c r="Q16" s="20">
        <v>2.9400000000000013</v>
      </c>
    </row>
    <row r="17" spans="15:17">
      <c r="O17" s="19">
        <v>45627</v>
      </c>
      <c r="P17" s="20">
        <v>20.097827857746733</v>
      </c>
      <c r="Q17" s="20">
        <v>4.6400000000000032</v>
      </c>
    </row>
    <row r="18" spans="15:17">
      <c r="O18" s="19" t="s">
        <v>58</v>
      </c>
      <c r="P18" s="20">
        <v>195.30785401964721</v>
      </c>
      <c r="Q18" s="20">
        <v>51.330546203883017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5ecc73c-45a4-4dad-b872-9af6edb3a1a9">
      <Terms xmlns="http://schemas.microsoft.com/office/infopath/2007/PartnerControls"/>
    </lcf76f155ced4ddcb4097134ff3c332f>
    <TaxCatchAll xmlns="6bcfb036-e10e-4a2d-a6fd-5243de692e70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7FFE3A711A447A113D48E325DA25A" ma:contentTypeVersion="14" ma:contentTypeDescription="Create a new document." ma:contentTypeScope="" ma:versionID="c2a7b210a822598b04d9ae5ee0a29050">
  <xsd:schema xmlns:xsd="http://www.w3.org/2001/XMLSchema" xmlns:xs="http://www.w3.org/2001/XMLSchema" xmlns:p="http://schemas.microsoft.com/office/2006/metadata/properties" xmlns:ns1="http://schemas.microsoft.com/sharepoint/v3" xmlns:ns2="65ecc73c-45a4-4dad-b872-9af6edb3a1a9" xmlns:ns3="6bcfb036-e10e-4a2d-a6fd-5243de692e70" targetNamespace="http://schemas.microsoft.com/office/2006/metadata/properties" ma:root="true" ma:fieldsID="ba86fc045727c6bee1974b1c9b001bcb" ns1:_="" ns2:_="" ns3:_="">
    <xsd:import namespace="http://schemas.microsoft.com/sharepoint/v3"/>
    <xsd:import namespace="65ecc73c-45a4-4dad-b872-9af6edb3a1a9"/>
    <xsd:import namespace="6bcfb036-e10e-4a2d-a6fd-5243de692e70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cc73c-45a4-4dad-b872-9af6edb3a1a9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fb036-e10e-4a2d-a6fd-5243de692e7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e53efda-a284-48ed-8d77-edcc17b5154c}" ma:internalName="TaxCatchAll" ma:showField="CatchAllData" ma:web="6bcfb036-e10e-4a2d-a6fd-5243de692e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A0EB2D-7887-4D9A-8B00-3C840E8547DE}"/>
</file>

<file path=customXml/itemProps2.xml><?xml version="1.0" encoding="utf-8"?>
<ds:datastoreItem xmlns:ds="http://schemas.openxmlformats.org/officeDocument/2006/customXml" ds:itemID="{F7A93D69-2337-4B31-A22F-30CA088E2C0A}"/>
</file>

<file path=customXml/itemProps3.xml><?xml version="1.0" encoding="utf-8"?>
<ds:datastoreItem xmlns:ds="http://schemas.openxmlformats.org/officeDocument/2006/customXml" ds:itemID="{10649559-A518-4F9C-8B34-363AD8033A85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O'Brien</dc:creator>
  <cp:keywords/>
  <dc:description/>
  <cp:lastModifiedBy>Josh Addison (3SHARP LLC)</cp:lastModifiedBy>
  <cp:revision/>
  <dcterms:created xsi:type="dcterms:W3CDTF">2025-09-08T16:17:44Z</dcterms:created>
  <dcterms:modified xsi:type="dcterms:W3CDTF">2025-09-30T15:50:07Z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0x010100EBF7FFE3A711A447A113D48E325DA25A</vt:lpwstr>
  </property>
  <property fmtid="{D5CDD505-2E9C-101B-9397-08002B2CF9AE}" pid="3" name="MediaServiceImageTags">
    <vt:lpwstr/>
  </property>
</Properties>
</file>